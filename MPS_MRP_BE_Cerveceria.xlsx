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iko\Downloads\"/>
    </mc:Choice>
  </mc:AlternateContent>
  <xr:revisionPtr revIDLastSave="0" documentId="13_ncr:1_{37DD781D-4472-44E9-9830-3E997B7F7C77}" xr6:coauthVersionLast="47" xr6:coauthVersionMax="47" xr10:uidLastSave="{00000000-0000-0000-0000-000000000000}"/>
  <bookViews>
    <workbookView xWindow="-110" yWindow="-110" windowWidth="19420" windowHeight="10300" tabRatio="500" firstSheet="2" activeTab="3" xr2:uid="{00000000-000D-0000-FFFF-FFFF00000000}"/>
  </bookViews>
  <sheets>
    <sheet name="PARÁMETROS" sheetId="1" r:id="rId1"/>
    <sheet name="RECETAS" sheetId="2" r:id="rId2"/>
    <sheet name="MPS — PEDIDOS FIJOS" sheetId="3" r:id="rId3"/>
    <sheet name="MPS — CANAL BOTELLAS (2)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3" i="9" l="1"/>
  <c r="R10" i="9"/>
  <c r="C64" i="9"/>
  <c r="C62" i="9"/>
  <c r="C61" i="9"/>
  <c r="D51" i="9"/>
  <c r="C51" i="9"/>
  <c r="C68" i="9"/>
  <c r="C60" i="9"/>
  <c r="G46" i="9"/>
  <c r="H46" i="9" s="1"/>
  <c r="G44" i="9"/>
  <c r="G43" i="9"/>
  <c r="G42" i="9"/>
  <c r="F45" i="9"/>
  <c r="E45" i="9"/>
  <c r="D45" i="9"/>
  <c r="C45" i="9"/>
  <c r="E33" i="9"/>
  <c r="E34" i="9" s="1"/>
  <c r="D52" i="9" s="1"/>
  <c r="F33" i="9"/>
  <c r="F34" i="9" s="1"/>
  <c r="E52" i="9" s="1"/>
  <c r="E53" i="9" s="1"/>
  <c r="G33" i="9"/>
  <c r="G34" i="9" s="1"/>
  <c r="F52" i="9" s="1"/>
  <c r="F53" i="9" s="1"/>
  <c r="D33" i="9"/>
  <c r="D34" i="9" s="1"/>
  <c r="C52" i="9" s="1"/>
  <c r="C37" i="9"/>
  <c r="E25" i="9"/>
  <c r="F26" i="9"/>
  <c r="I8" i="2"/>
  <c r="I7" i="2"/>
  <c r="I6" i="2"/>
  <c r="I5" i="2"/>
  <c r="H8" i="2"/>
  <c r="H7" i="2"/>
  <c r="H6" i="2"/>
  <c r="H5" i="2"/>
  <c r="D23" i="1"/>
  <c r="D22" i="1"/>
  <c r="D20" i="1"/>
  <c r="D21" i="1"/>
  <c r="D19" i="1"/>
  <c r="D18" i="1"/>
  <c r="D17" i="1"/>
  <c r="F20" i="9"/>
  <c r="H20" i="9" s="1"/>
  <c r="I20" i="9" s="1"/>
  <c r="F18" i="9"/>
  <c r="H18" i="9" s="1"/>
  <c r="I18" i="9" s="1"/>
  <c r="D13" i="9"/>
  <c r="F13" i="9" s="1"/>
  <c r="H13" i="9" s="1"/>
  <c r="I5" i="9"/>
  <c r="G5" i="9"/>
  <c r="B6" i="3"/>
  <c r="B11" i="1"/>
  <c r="B30" i="2"/>
  <c r="C29" i="2"/>
  <c r="D29" i="2"/>
  <c r="E29" i="2"/>
  <c r="F29" i="2"/>
  <c r="G29" i="2"/>
  <c r="B29" i="2"/>
  <c r="D28" i="2"/>
  <c r="C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4" i="2"/>
  <c r="E23" i="2"/>
  <c r="D23" i="2"/>
  <c r="C22" i="2"/>
  <c r="B22" i="2"/>
  <c r="B12" i="1"/>
  <c r="B7" i="3"/>
  <c r="B10" i="3" s="1"/>
  <c r="D11" i="2"/>
  <c r="C11" i="2"/>
  <c r="G10" i="2"/>
  <c r="F10" i="2"/>
  <c r="E10" i="2"/>
  <c r="D10" i="2"/>
  <c r="G9" i="2"/>
  <c r="F9" i="2"/>
  <c r="E9" i="2"/>
  <c r="D9" i="2"/>
  <c r="C9" i="2"/>
  <c r="C10" i="2"/>
  <c r="B10" i="2"/>
  <c r="B9" i="2"/>
  <c r="B23" i="1"/>
  <c r="B22" i="1"/>
  <c r="B21" i="1"/>
  <c r="B7" i="1"/>
  <c r="B8" i="3"/>
  <c r="D11" i="9" s="1"/>
  <c r="F11" i="9" s="1"/>
  <c r="H11" i="9" s="1"/>
  <c r="D8" i="1"/>
  <c r="D7" i="1"/>
  <c r="D6" i="1"/>
  <c r="G51" i="9" l="1"/>
  <c r="D53" i="9"/>
  <c r="C53" i="9"/>
  <c r="G53" i="9" s="1"/>
  <c r="M11" i="9"/>
  <c r="N11" i="9" s="1"/>
  <c r="C55" i="9"/>
  <c r="C67" i="9" s="1"/>
  <c r="G52" i="9"/>
  <c r="C66" i="9" s="1"/>
  <c r="M18" i="9"/>
  <c r="H42" i="9"/>
  <c r="H43" i="9"/>
  <c r="H44" i="9"/>
  <c r="H33" i="9"/>
  <c r="H34" i="9" s="1"/>
  <c r="G45" i="9"/>
  <c r="D27" i="9"/>
  <c r="H26" i="9"/>
  <c r="I26" i="9" s="1"/>
  <c r="I11" i="9"/>
  <c r="D6" i="9"/>
  <c r="D9" i="9"/>
  <c r="F9" i="9" s="1"/>
  <c r="H9" i="9" s="1"/>
  <c r="C6" i="9" s="1"/>
  <c r="A11" i="9" s="1"/>
  <c r="I13" i="9"/>
  <c r="A13" i="9" l="1"/>
  <c r="D36" i="9"/>
  <c r="D38" i="9"/>
  <c r="I9" i="9"/>
  <c r="D7" i="9"/>
  <c r="M9" i="9"/>
  <c r="N9" i="9" s="1"/>
  <c r="M20" i="9" l="1"/>
  <c r="M13" i="9" s="1"/>
  <c r="N13" i="9" s="1"/>
  <c r="E36" i="9"/>
  <c r="F36" i="9" s="1"/>
  <c r="G36" i="9" s="1"/>
  <c r="E38" i="9"/>
  <c r="F38" i="9" s="1"/>
  <c r="G38" i="9" s="1"/>
</calcChain>
</file>

<file path=xl/sharedStrings.xml><?xml version="1.0" encoding="utf-8"?>
<sst xmlns="http://schemas.openxmlformats.org/spreadsheetml/2006/main" count="348" uniqueCount="193">
  <si>
    <t>🍺  CERVECERÍA B&amp;E S.A.S. — MODELO MPS + MRP</t>
  </si>
  <si>
    <t>PARÁMETROS DE PRODUCCIÓN</t>
  </si>
  <si>
    <t>DEMANDA Y LEAD TIMES</t>
  </si>
  <si>
    <t>Número de tanques</t>
  </si>
  <si>
    <t>Pedido fijo / sabor / mes (L)</t>
  </si>
  <si>
    <t>L/mes por sabor</t>
  </si>
  <si>
    <t>Capacidad por tanque (L)</t>
  </si>
  <si>
    <t>Pedido fijo sem.1 / sabor (L)</t>
  </si>
  <si>
    <t>L</t>
  </si>
  <si>
    <t>Capacidad semanal total (L)</t>
  </si>
  <si>
    <t>Pedido fijo sem.2 / sabor (L)</t>
  </si>
  <si>
    <t>Tiempo de fermentación (días)</t>
  </si>
  <si>
    <t>Total pedido fijo / semana (L)</t>
  </si>
  <si>
    <t>L (sem.1 y sem.2)</t>
  </si>
  <si>
    <t>Número de sabores</t>
  </si>
  <si>
    <t>Barrera de demanda (semanas)</t>
  </si>
  <si>
    <t>semanas</t>
  </si>
  <si>
    <t>Capacidad botella (mL)</t>
  </si>
  <si>
    <t>Horizonte de planificación (sem)</t>
  </si>
  <si>
    <t>Capacidad botella (L)</t>
  </si>
  <si>
    <t>Lead time Bogotá (días)</t>
  </si>
  <si>
    <t>días</t>
  </si>
  <si>
    <t>Lead time Armenia (días)</t>
  </si>
  <si>
    <t>INVENTARIO INICIAL — MATERIAS PRIMAS</t>
  </si>
  <si>
    <t>Materia Prima</t>
  </si>
  <si>
    <t>Inv. Inicial</t>
  </si>
  <si>
    <t>Unidad</t>
  </si>
  <si>
    <t>Lead Time (días)</t>
  </si>
  <si>
    <t>Unidad Compra</t>
  </si>
  <si>
    <t>Tamaño Unidad Compra</t>
  </si>
  <si>
    <t>Malta Pale Ale</t>
  </si>
  <si>
    <t>kg</t>
  </si>
  <si>
    <t>Bultos</t>
  </si>
  <si>
    <t>Malta Pilsen</t>
  </si>
  <si>
    <t>Malta Chocolate</t>
  </si>
  <si>
    <t>Malta Roasted</t>
  </si>
  <si>
    <t>Lúpulo Magnum</t>
  </si>
  <si>
    <t>Bolsas</t>
  </si>
  <si>
    <t>Levadura US-05</t>
  </si>
  <si>
    <t>Packs</t>
  </si>
  <si>
    <t>Miel</t>
  </si>
  <si>
    <t>Botellas 330mL</t>
  </si>
  <si>
    <t>botellas</t>
  </si>
  <si>
    <t>Cajas</t>
  </si>
  <si>
    <t>tapas</t>
  </si>
  <si>
    <t>Paquetes</t>
  </si>
  <si>
    <t>Materia Prima / Unidad</t>
  </si>
  <si>
    <t>IPA
(Pijao)</t>
  </si>
  <si>
    <t>Malta Pale Ale (kg)</t>
  </si>
  <si>
    <t>—</t>
  </si>
  <si>
    <t>Malta Pilsen (kg)</t>
  </si>
  <si>
    <t>Malta Chocolate (kg)</t>
  </si>
  <si>
    <t>Malta Roasted (kg)</t>
  </si>
  <si>
    <t>Botellas 330mL (ud)</t>
  </si>
  <si>
    <t>Tapas corona (ud)</t>
  </si>
  <si>
    <t>PROGRAMA MAESTRO DE PRODUCCIÓN — CANAL GASTROBARES (Pedidos Fijos)</t>
  </si>
  <si>
    <t>TOTAL MES</t>
  </si>
  <si>
    <t>RESUMEN CONSOLIDADO — TODOS LOS SABORES</t>
  </si>
  <si>
    <t>Total lotes sem.1</t>
  </si>
  <si>
    <t>lotes (6 sabores)</t>
  </si>
  <si>
    <t>Total lotes sem.2</t>
  </si>
  <si>
    <t>Total litros fijos/mes</t>
  </si>
  <si>
    <t>L entregados gastrobares</t>
  </si>
  <si>
    <t>Litros overflow sem.1 (libre)</t>
  </si>
  <si>
    <t>L libres para botellar</t>
  </si>
  <si>
    <t>Litros overflow sem.2 (libre)</t>
  </si>
  <si>
    <t>PROGRAMA MAESTRO — CANAL BOTELLAS 330mL (Pronóstico sem.3 y sem.4)</t>
  </si>
  <si>
    <t>Fila</t>
  </si>
  <si>
    <t>Semana 0</t>
  </si>
  <si>
    <t>PARÁMETROS BOTELLAS</t>
  </si>
  <si>
    <t>Pronóstico (botellas)</t>
  </si>
  <si>
    <t>Pronóstico botellas/sem (bot)</t>
  </si>
  <si>
    <t>Sem 1</t>
  </si>
  <si>
    <t>Sem 2</t>
  </si>
  <si>
    <t>Sem 3</t>
  </si>
  <si>
    <t>Sem 4</t>
  </si>
  <si>
    <t>Semana 1</t>
  </si>
  <si>
    <t>Semana 2</t>
  </si>
  <si>
    <t>Semana 3</t>
  </si>
  <si>
    <t>Semana 4</t>
  </si>
  <si>
    <t>IPA Honey</t>
  </si>
  <si>
    <t>Honey Golden Ale</t>
  </si>
  <si>
    <t>Golden Ale</t>
  </si>
  <si>
    <t>Porter</t>
  </si>
  <si>
    <t>Iris Red Ale</t>
  </si>
  <si>
    <t>Agua (L)</t>
  </si>
  <si>
    <t>RECETAS DE PRODUCCIÓN — Insumos por lote de 120L</t>
  </si>
  <si>
    <t>Parámetros del sistema</t>
  </si>
  <si>
    <t>Sem.1 y Sem.2: overflow embotellado (~363 bot/sem) | Sem.3 y Sem.4: lotes dedicados según pronóstico</t>
  </si>
  <si>
    <t>Aprox.</t>
  </si>
  <si>
    <t>Botellas por tanque</t>
  </si>
  <si>
    <t>Tapas</t>
  </si>
  <si>
    <t>Frasco</t>
  </si>
  <si>
    <t>Lúpulo Magnum (kg)</t>
  </si>
  <si>
    <t>Levadura US-05 (kg)</t>
  </si>
  <si>
    <t>Miel (kg)</t>
  </si>
  <si>
    <t xml:space="preserve">Cantidades para 1 L </t>
  </si>
  <si>
    <t>RECETAS DE PRODUCCIÓN — Insumos pora producir 1 L</t>
  </si>
  <si>
    <t>Sumar en los resquerimientos el echo de que algunas maltas se repiden igual en los otros casos</t>
  </si>
  <si>
    <t>Entonces</t>
  </si>
  <si>
    <t>Botellas resultantes de la primera semana</t>
  </si>
  <si>
    <t>Litros</t>
  </si>
  <si>
    <t>ml/Lt</t>
  </si>
  <si>
    <t>Cant. Ml</t>
  </si>
  <si>
    <t>ml de una botella</t>
  </si>
  <si>
    <t>Botellas que salen</t>
  </si>
  <si>
    <t>Botellas semana 3 y 4</t>
  </si>
  <si>
    <t>Botellas semana 1 y 2</t>
  </si>
  <si>
    <t>Botellas resultantes de la segunda semana</t>
  </si>
  <si>
    <t>Botellas a Producir en el mes</t>
  </si>
  <si>
    <t>Botellas a Producir para semana 3 y 4</t>
  </si>
  <si>
    <t xml:space="preserve">Botellas por sabor </t>
  </si>
  <si>
    <t>Botellas a Producir por sabor en semana 3</t>
  </si>
  <si>
    <t>Botellas x sabor si se divide las dos semanas</t>
  </si>
  <si>
    <t>Inventario inicial producto terminado</t>
  </si>
  <si>
    <t xml:space="preserve">Valor resultado de las botellas que salen de la semana 3 y 4 menos los pronosticos de esas dos semanas </t>
  </si>
  <si>
    <t>Valor resultado de inventario de PT, donde ya se saco para cumplir pronostico de semana 1 y 2</t>
  </si>
  <si>
    <t xml:space="preserve">Inventario de producto terminado para el siguiente mes </t>
  </si>
  <si>
    <t>Inventario de PT luego de la semana 1</t>
  </si>
  <si>
    <t>Inventario de PT luego de la semana 2</t>
  </si>
  <si>
    <t>Stock Seguridad (Para lote de 80 L) en KG</t>
  </si>
  <si>
    <t xml:space="preserve">L x sabor </t>
  </si>
  <si>
    <t>Barrera de demanda: 2 semanas | Tamaño capacidad de lote: 120 L | Inventario inicial: 50 L por sabor</t>
  </si>
  <si>
    <t>Pronóstico ventas (botellas)</t>
  </si>
  <si>
    <t>Pronóstico ventas (litros)</t>
  </si>
  <si>
    <t>Inventario PT (botellas) al INICIO</t>
  </si>
  <si>
    <t>Inventario PT (botellas) al FINAL</t>
  </si>
  <si>
    <t>Inventario PT (litros) al INICIO</t>
  </si>
  <si>
    <t>Inventario PT (litros) al FINAL</t>
  </si>
  <si>
    <t>PRONÓSTICO DE VENTAS Y BALANCE DE INVENTARIO — BOTELLAS</t>
  </si>
  <si>
    <t>% del total</t>
  </si>
  <si>
    <t>Tipo</t>
  </si>
  <si>
    <t>Notas</t>
  </si>
  <si>
    <t>Concepto</t>
  </si>
  <si>
    <t>Pedidos fijos — Barril (L)</t>
  </si>
  <si>
    <t>Fija</t>
  </si>
  <si>
    <t>100 L/sabor × 6 sab × 2 bares</t>
  </si>
  <si>
    <t>Overflow</t>
  </si>
  <si>
    <t>720L − 600L = 120L sobrante/sem</t>
  </si>
  <si>
    <t>Pronóstico</t>
  </si>
  <si>
    <t>100%</t>
  </si>
  <si>
    <t>Capacidad producida en el mes (L)</t>
  </si>
  <si>
    <t>720L × 4 sem = 2.880L cap. teórica</t>
  </si>
  <si>
    <t>Litros producidos en las 4 semanas</t>
  </si>
  <si>
    <t>Overflow embotellado barril</t>
  </si>
  <si>
    <t>Producción según pronosticos</t>
  </si>
  <si>
    <t>PRODUCCIÓN TOTAL (L)</t>
  </si>
  <si>
    <t xml:space="preserve">Realmente se producen los 480 (suma de sem. 3 y 4) se producen en la sem. 3. pero aca es para entender. </t>
  </si>
  <si>
    <t>Valor</t>
  </si>
  <si>
    <t>Indicador</t>
  </si>
  <si>
    <t>Meta</t>
  </si>
  <si>
    <t>Estado</t>
  </si>
  <si>
    <t>Ocupación cap. sem 1 y 2</t>
  </si>
  <si>
    <t>%</t>
  </si>
  <si>
    <t>✅ Plena</t>
  </si>
  <si>
    <t>Ocupación cap. sem 3</t>
  </si>
  <si>
    <t>67%</t>
  </si>
  <si>
    <t>🔶 Parcial</t>
  </si>
  <si>
    <t>Litros producidos/mes</t>
  </si>
  <si>
    <t>1.920 L</t>
  </si>
  <si>
    <t>✅ Cumplido</t>
  </si>
  <si>
    <t>Pedidos fijos cubiertos</t>
  </si>
  <si>
    <t>1.200 L</t>
  </si>
  <si>
    <t>Semana</t>
  </si>
  <si>
    <t>Análisis</t>
  </si>
  <si>
    <t>Igual a sem 1. Se inicia el segundo pedido fijo mientras se despacha el primero.</t>
  </si>
  <si>
    <t>Balance</t>
  </si>
  <si>
    <t>Inventario final PT siguiente mes</t>
  </si>
  <si>
    <t>✅ Adecuado</t>
  </si>
  <si>
    <t>Tendencia</t>
  </si>
  <si>
    <t>El inventario de PT crece hacia el final del mes, asegurando el siguiente ciclo.</t>
  </si>
  <si>
    <t>Eficiencia total vs cap. máx.</t>
  </si>
  <si>
    <t>~67%</t>
  </si>
  <si>
    <t>🔶 Normal</t>
  </si>
  <si>
    <t>Conclusión</t>
  </si>
  <si>
    <t>El modelo es sostenible: cubre demanda fija + pronóstico y deja stock de seguridad.</t>
  </si>
  <si>
    <t>Canal</t>
  </si>
  <si>
    <t>TOTAL (L)</t>
  </si>
  <si>
    <t>Pronosticos (L)</t>
  </si>
  <si>
    <t>RESUMEN DEMANDA SOLICITADA POR SEMANA</t>
  </si>
  <si>
    <t>INDICADORES CLAVE (KPIs) DEL MES</t>
  </si>
  <si>
    <t>Ocupación cap. sem 4</t>
  </si>
  <si>
    <t>-</t>
  </si>
  <si>
    <t>Pronóstico litros cubierto</t>
  </si>
  <si>
    <t>Demanda litros requeridos</t>
  </si>
  <si>
    <t>1873 L</t>
  </si>
  <si>
    <t>673 L}</t>
  </si>
  <si>
    <t>≥ 99 L</t>
  </si>
  <si>
    <t>INTERPRETACIÓN DEL DESEMPEÑO</t>
  </si>
  <si>
    <t>100% capacidad. 600L fijos + 120L overflow . Semana de máxima presión.</t>
  </si>
  <si>
    <t>67% cap. 480L para botellas</t>
  </si>
  <si>
    <t>Sin producción. Embotellado de los 480L de sem 3 = flexibilidad para pedidos urgentes.</t>
  </si>
  <si>
    <t>Inicio: 99L PT. Consumo sem 1-2:. Producción sem 3-4: 480l. Final: 146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</si>
</sst>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000"/>
    <numFmt numFmtId="166" formatCode="0.00000"/>
    <numFmt numFmtId="167" formatCode="0.0000"/>
    <numFmt numFmtId="168" formatCode="#,##0.00000000"/>
    <numFmt numFmtId="169" formatCode="0.0%"/>
    <numFmt numFmtId="170" formatCode="#,##0.0"/>
  </numFmts>
  <fonts count="38" x14ac:knownFonts="1">
    <font>
      <sz val="11"/>
      <color theme="1"/>
      <name val="Calibri"/>
      <family val="2"/>
      <charset val="1"/>
    </font>
    <font>
      <b/>
      <sz val="15"/>
      <color rgb="FFF5A623"/>
      <name val="Arial"/>
      <family val="2"/>
    </font>
    <font>
      <sz val="9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4A3520"/>
      <name val="Arial"/>
      <family val="2"/>
    </font>
    <font>
      <b/>
      <sz val="10"/>
      <color rgb="FF0000FF"/>
      <name val="Arial"/>
      <family val="2"/>
    </font>
    <font>
      <i/>
      <sz val="10"/>
      <color rgb="FF4A3520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i/>
      <sz val="10"/>
      <color rgb="FF000000"/>
      <name val="Arial"/>
      <family val="2"/>
    </font>
    <font>
      <sz val="10"/>
      <color rgb="FF5D4037"/>
      <name val="Arial"/>
      <family val="2"/>
    </font>
    <font>
      <b/>
      <sz val="10"/>
      <color rgb="FF000000"/>
      <name val="Arial"/>
      <family val="2"/>
    </font>
    <font>
      <b/>
      <sz val="10"/>
      <color rgb="FF2D6A4F"/>
      <name val="Arial"/>
      <family val="2"/>
    </font>
    <font>
      <b/>
      <sz val="13"/>
      <color rgb="FFF5A623"/>
      <name val="Arial"/>
      <family val="2"/>
    </font>
    <font>
      <b/>
      <sz val="10"/>
      <color rgb="FFFFFFFF"/>
      <name val="Arial"/>
      <family val="2"/>
    </font>
    <font>
      <b/>
      <sz val="9"/>
      <color rgb="FFF5A623"/>
      <name val="Arial"/>
      <family val="2"/>
    </font>
    <font>
      <sz val="10"/>
      <color rgb="FFBBBBBB"/>
      <name val="Arial"/>
      <family val="2"/>
    </font>
    <font>
      <b/>
      <sz val="10"/>
      <color rgb="FF1B4F72"/>
      <name val="Arial"/>
      <family val="2"/>
    </font>
    <font>
      <b/>
      <sz val="11"/>
      <color rgb="FFF5A623"/>
      <name val="Arial"/>
      <family val="2"/>
    </font>
    <font>
      <b/>
      <sz val="10"/>
      <color rgb="FF4A352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AAAAAA"/>
      <name val="Arial"/>
      <family val="2"/>
    </font>
    <font>
      <b/>
      <sz val="11"/>
      <color theme="1"/>
      <name val="Calibri"/>
      <family val="2"/>
      <charset val="1"/>
    </font>
    <font>
      <b/>
      <sz val="10"/>
      <color rgb="FFD4820A"/>
      <name val="Arial"/>
      <family val="2"/>
    </font>
    <font>
      <i/>
      <sz val="10"/>
      <color rgb="FF2D6A4F"/>
      <name val="Arial"/>
      <family val="2"/>
    </font>
    <font>
      <b/>
      <sz val="10"/>
      <color rgb="FF4A148C"/>
      <name val="Arial"/>
      <family val="2"/>
    </font>
    <font>
      <i/>
      <sz val="10"/>
      <color rgb="FF4A148C"/>
      <name val="Arial"/>
      <family val="2"/>
    </font>
    <font>
      <i/>
      <sz val="10"/>
      <color rgb="FF1B4F72"/>
      <name val="Arial"/>
      <family val="2"/>
    </font>
    <font>
      <b/>
      <sz val="10"/>
      <color rgb="FFF5A623"/>
      <name val="Arial"/>
      <family val="2"/>
    </font>
    <font>
      <sz val="10"/>
      <color rgb="FF888888"/>
      <name val="Arial"/>
      <family val="2"/>
    </font>
    <font>
      <b/>
      <sz val="10"/>
      <color rgb="FFBF360C"/>
      <name val="Arial"/>
      <family val="2"/>
    </font>
    <font>
      <sz val="9"/>
      <color rgb="FF1B4F72"/>
      <name val="Arial"/>
      <family val="2"/>
    </font>
    <font>
      <sz val="10"/>
      <color rgb="FF2D6A4F"/>
      <name val="Arial"/>
      <family val="2"/>
    </font>
    <font>
      <sz val="10"/>
      <color rgb="FF4A148C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A1208"/>
        <bgColor rgb="FF000000"/>
      </patternFill>
    </fill>
    <fill>
      <patternFill patternType="solid">
        <fgColor rgb="FFD4820A"/>
        <bgColor rgb="FFF5A623"/>
      </patternFill>
    </fill>
    <fill>
      <patternFill patternType="solid">
        <fgColor rgb="FFF5F5F5"/>
        <bgColor rgb="FFFDF3E3"/>
      </patternFill>
    </fill>
    <fill>
      <patternFill patternType="solid">
        <fgColor rgb="FFE3F2FD"/>
        <bgColor rgb="FFE8F5E9"/>
      </patternFill>
    </fill>
    <fill>
      <patternFill patternType="solid">
        <fgColor rgb="FFFFFDF7"/>
        <bgColor rgb="FFFFFFFF"/>
      </patternFill>
    </fill>
    <fill>
      <patternFill patternType="solid">
        <fgColor rgb="FF4A3520"/>
        <bgColor rgb="FF5D4037"/>
      </patternFill>
    </fill>
    <fill>
      <patternFill patternType="solid">
        <fgColor rgb="FFFFF8E1"/>
        <bgColor rgb="FFFDF3E3"/>
      </patternFill>
    </fill>
    <fill>
      <patternFill patternType="solid">
        <fgColor rgb="FFE8F5E9"/>
        <bgColor rgb="FFE3F2FD"/>
      </patternFill>
    </fill>
    <fill>
      <patternFill patternType="solid">
        <fgColor rgb="FF2D6A4F"/>
        <bgColor rgb="FF1B4F7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B4F72"/>
      </patternFill>
    </fill>
    <fill>
      <patternFill patternType="solid">
        <fgColor rgb="FF1A1208"/>
      </patternFill>
    </fill>
    <fill>
      <patternFill patternType="solid">
        <fgColor rgb="FF2D6A4F"/>
      </patternFill>
    </fill>
    <fill>
      <patternFill patternType="solid">
        <fgColor rgb="FFD4820A"/>
      </patternFill>
    </fill>
    <fill>
      <patternFill patternType="solid">
        <fgColor rgb="FF4A3520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FFDF7"/>
      </patternFill>
    </fill>
    <fill>
      <patternFill patternType="solid">
        <fgColor rgb="FFFDF3E3"/>
      </patternFill>
    </fill>
    <fill>
      <patternFill patternType="solid">
        <fgColor rgb="FFF3E5F5"/>
      </patternFill>
    </fill>
    <fill>
      <patternFill patternType="solid">
        <fgColor rgb="FFE3F2FD"/>
      </patternFill>
    </fill>
    <fill>
      <patternFill patternType="solid">
        <fgColor rgb="FFFFF8E1"/>
      </patternFill>
    </fill>
  </fills>
  <borders count="12">
    <border>
      <left/>
      <right/>
      <top/>
      <bottom/>
      <diagonal/>
    </border>
    <border>
      <left style="medium">
        <color rgb="FFD4820A"/>
      </left>
      <right style="medium">
        <color rgb="FFD4820A"/>
      </right>
      <top style="medium">
        <color rgb="FFD4820A"/>
      </top>
      <bottom style="medium">
        <color rgb="FFD4820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D4820A"/>
      </top>
      <bottom style="medium">
        <color rgb="FFD4820A"/>
      </bottom>
      <diagonal/>
    </border>
    <border>
      <left/>
      <right style="medium">
        <color rgb="FFD4820A"/>
      </right>
      <top style="medium">
        <color rgb="FFD4820A"/>
      </top>
      <bottom style="medium">
        <color rgb="FFD4820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medium">
        <color rgb="FFD4820A"/>
      </top>
      <bottom style="thin">
        <color indexed="64"/>
      </bottom>
      <diagonal/>
    </border>
    <border>
      <left/>
      <right/>
      <top style="medium">
        <color rgb="FFD4820A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4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 wrapText="1"/>
    </xf>
    <xf numFmtId="164" fontId="12" fillId="9" borderId="2" xfId="0" applyNumberFormat="1" applyFont="1" applyFill="1" applyBorder="1" applyAlignment="1">
      <alignment horizontal="center" vertical="center"/>
    </xf>
    <xf numFmtId="3" fontId="0" fillId="0" borderId="0" xfId="0" applyNumberFormat="1"/>
    <xf numFmtId="166" fontId="12" fillId="9" borderId="2" xfId="0" applyNumberFormat="1" applyFont="1" applyFill="1" applyBorder="1" applyAlignment="1">
      <alignment horizontal="center" vertical="center"/>
    </xf>
    <xf numFmtId="167" fontId="12" fillId="9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22" fillId="0" borderId="0" xfId="0" applyFont="1"/>
    <xf numFmtId="165" fontId="0" fillId="0" borderId="3" xfId="0" applyNumberForma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8" fontId="0" fillId="0" borderId="0" xfId="0" applyNumberFormat="1"/>
    <xf numFmtId="4" fontId="0" fillId="0" borderId="0" xfId="0" applyNumberFormat="1"/>
    <xf numFmtId="0" fontId="22" fillId="0" borderId="3" xfId="0" applyFont="1" applyBorder="1" applyAlignment="1">
      <alignment horizontal="center" vertical="center" wrapText="1"/>
    </xf>
    <xf numFmtId="168" fontId="22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2" fillId="0" borderId="3" xfId="0" applyFont="1" applyBorder="1"/>
    <xf numFmtId="0" fontId="23" fillId="0" borderId="3" xfId="0" applyFont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center" vertical="center"/>
    </xf>
    <xf numFmtId="3" fontId="11" fillId="6" borderId="2" xfId="0" applyNumberFormat="1" applyFont="1" applyFill="1" applyBorder="1" applyAlignment="1">
      <alignment horizontal="center" vertical="center"/>
    </xf>
    <xf numFmtId="3" fontId="20" fillId="4" borderId="2" xfId="0" applyNumberFormat="1" applyFont="1" applyFill="1" applyBorder="1" applyAlignment="1">
      <alignment horizontal="center" vertical="center"/>
    </xf>
    <xf numFmtId="0" fontId="26" fillId="0" borderId="0" xfId="0" applyFont="1"/>
    <xf numFmtId="3" fontId="22" fillId="0" borderId="3" xfId="0" applyNumberFormat="1" applyFont="1" applyBorder="1" applyAlignment="1">
      <alignment horizontal="center" vertical="center"/>
    </xf>
    <xf numFmtId="2" fontId="10" fillId="8" borderId="2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3" fontId="11" fillId="6" borderId="3" xfId="0" applyNumberFormat="1" applyFont="1" applyFill="1" applyBorder="1" applyAlignment="1">
      <alignment horizontal="center" vertical="center"/>
    </xf>
    <xf numFmtId="3" fontId="20" fillId="4" borderId="3" xfId="0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0" fillId="12" borderId="3" xfId="0" applyFill="1" applyBorder="1"/>
    <xf numFmtId="168" fontId="0" fillId="12" borderId="3" xfId="0" applyNumberFormat="1" applyFill="1" applyBorder="1"/>
    <xf numFmtId="0" fontId="0" fillId="13" borderId="3" xfId="0" applyFill="1" applyBorder="1"/>
    <xf numFmtId="168" fontId="0" fillId="13" borderId="3" xfId="0" applyNumberFormat="1" applyFill="1" applyBorder="1"/>
    <xf numFmtId="0" fontId="8" fillId="14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19" fillId="19" borderId="2" xfId="0" applyFont="1" applyFill="1" applyBorder="1" applyAlignment="1">
      <alignment horizontal="left" vertical="center"/>
    </xf>
    <xf numFmtId="3" fontId="12" fillId="20" borderId="2" xfId="0" applyNumberFormat="1" applyFont="1" applyFill="1" applyBorder="1" applyAlignment="1">
      <alignment horizontal="center" vertical="center"/>
    </xf>
    <xf numFmtId="3" fontId="16" fillId="21" borderId="2" xfId="0" applyNumberFormat="1" applyFont="1" applyFill="1" applyBorder="1" applyAlignment="1">
      <alignment horizontal="center" vertical="center"/>
    </xf>
    <xf numFmtId="169" fontId="27" fillId="22" borderId="2" xfId="0" applyNumberFormat="1" applyFont="1" applyFill="1" applyBorder="1" applyAlignment="1">
      <alignment horizontal="center" vertical="center"/>
    </xf>
    <xf numFmtId="0" fontId="28" fillId="20" borderId="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left" vertical="center"/>
    </xf>
    <xf numFmtId="3" fontId="29" fillId="23" borderId="2" xfId="0" applyNumberFormat="1" applyFont="1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3" fontId="17" fillId="24" borderId="2" xfId="0" applyNumberFormat="1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0" fontId="32" fillId="15" borderId="2" xfId="0" applyFont="1" applyFill="1" applyBorder="1" applyAlignment="1">
      <alignment horizontal="left" vertical="center"/>
    </xf>
    <xf numFmtId="3" fontId="32" fillId="15" borderId="2" xfId="0" applyNumberFormat="1" applyFont="1" applyFill="1" applyBorder="1" applyAlignment="1">
      <alignment horizontal="center" vertical="center"/>
    </xf>
    <xf numFmtId="3" fontId="14" fillId="17" borderId="2" xfId="0" applyNumberFormat="1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33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/>
    </xf>
    <xf numFmtId="3" fontId="6" fillId="22" borderId="2" xfId="0" applyNumberFormat="1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/>
    </xf>
    <xf numFmtId="3" fontId="19" fillId="22" borderId="2" xfId="0" applyNumberFormat="1" applyFont="1" applyFill="1" applyBorder="1" applyAlignment="1">
      <alignment horizontal="center" vertical="center"/>
    </xf>
    <xf numFmtId="169" fontId="6" fillId="22" borderId="2" xfId="0" applyNumberFormat="1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left" vertical="center"/>
    </xf>
    <xf numFmtId="0" fontId="8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left" vertical="center"/>
    </xf>
    <xf numFmtId="169" fontId="12" fillId="20" borderId="2" xfId="0" applyNumberFormat="1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169" fontId="34" fillId="25" borderId="2" xfId="0" applyNumberFormat="1" applyFont="1" applyFill="1" applyBorder="1" applyAlignment="1">
      <alignment horizontal="center" vertical="center"/>
    </xf>
    <xf numFmtId="0" fontId="34" fillId="25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left" vertical="center"/>
    </xf>
    <xf numFmtId="3" fontId="36" fillId="20" borderId="2" xfId="0" applyNumberFormat="1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37" fillId="19" borderId="2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3" fillId="16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22" fillId="11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/>
    </xf>
    <xf numFmtId="170" fontId="37" fillId="23" borderId="2" xfId="0" applyNumberFormat="1" applyFont="1" applyFill="1" applyBorder="1" applyAlignment="1">
      <alignment horizontal="center" vertical="center"/>
    </xf>
    <xf numFmtId="168" fontId="22" fillId="13" borderId="3" xfId="0" applyNumberFormat="1" applyFont="1" applyFill="1" applyBorder="1"/>
    <xf numFmtId="0" fontId="22" fillId="13" borderId="3" xfId="0" applyFont="1" applyFill="1" applyBorder="1"/>
    <xf numFmtId="4" fontId="22" fillId="0" borderId="3" xfId="0" applyNumberFormat="1" applyFont="1" applyBorder="1"/>
    <xf numFmtId="3" fontId="4" fillId="21" borderId="2" xfId="0" applyNumberFormat="1" applyFont="1" applyFill="1" applyBorder="1" applyAlignment="1">
      <alignment horizontal="center" vertical="center"/>
    </xf>
    <xf numFmtId="0" fontId="32" fillId="15" borderId="9" xfId="0" applyFont="1" applyFill="1" applyBorder="1" applyAlignment="1">
      <alignment horizontal="center" vertical="center"/>
    </xf>
    <xf numFmtId="0" fontId="35" fillId="24" borderId="3" xfId="0" applyFont="1" applyFill="1" applyBorder="1" applyAlignment="1">
      <alignment horizontal="left" vertical="center" wrapText="1"/>
    </xf>
    <xf numFmtId="0" fontId="0" fillId="0" borderId="3" xfId="0" applyBorder="1"/>
    <xf numFmtId="0" fontId="8" fillId="14" borderId="10" xfId="0" applyFont="1" applyFill="1" applyBorder="1" applyAlignment="1">
      <alignment horizontal="center" vertical="center"/>
    </xf>
    <xf numFmtId="0" fontId="8" fillId="1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2D6A4F"/>
      <rgbColor rgb="FFBBBBBB"/>
      <rgbColor rgb="FF888888"/>
      <rgbColor rgb="FF9999FF"/>
      <rgbColor rgb="FF9B2335"/>
      <rgbColor rgb="FFFFF8E1"/>
      <rgbColor rgb="FFE3F2FD"/>
      <rgbColor rgb="FF4A148C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DF3E3"/>
      <rgbColor rgb="FFF3E5F5"/>
      <rgbColor rgb="FFFFFDF7"/>
      <rgbColor rgb="FFCC99FF"/>
      <rgbColor rgb="FFFCE4EC"/>
      <rgbColor rgb="FF3366FF"/>
      <rgbColor rgb="FF33CCCC"/>
      <rgbColor rgb="FF99CC00"/>
      <rgbColor rgb="FFFFCC00"/>
      <rgbColor rgb="FFF5A623"/>
      <rgbColor rgb="FFD4820A"/>
      <rgbColor rgb="FF666699"/>
      <rgbColor rgb="FFAAAAAA"/>
      <rgbColor rgb="FF1B4F72"/>
      <rgbColor rgb="FF52B788"/>
      <rgbColor rgb="FF003300"/>
      <rgbColor rgb="FF1A1208"/>
      <rgbColor rgb="FF993300"/>
      <rgbColor rgb="FF5D4037"/>
      <rgbColor rgb="FF333399"/>
      <rgbColor rgb="FF4A35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820A"/>
  </sheetPr>
  <dimension ref="A1:H25"/>
  <sheetViews>
    <sheetView showGridLines="0" topLeftCell="A13" zoomScale="90" zoomScaleNormal="100" workbookViewId="0">
      <selection activeCell="C21" sqref="C21"/>
    </sheetView>
  </sheetViews>
  <sheetFormatPr baseColWidth="10" defaultColWidth="8.6328125" defaultRowHeight="14.5" x14ac:dyDescent="0.35"/>
  <cols>
    <col min="1" max="1" width="30" customWidth="1"/>
    <col min="2" max="2" width="20" customWidth="1"/>
    <col min="3" max="3" width="35" customWidth="1"/>
    <col min="4" max="4" width="20" customWidth="1"/>
    <col min="5" max="5" width="35" customWidth="1"/>
  </cols>
  <sheetData>
    <row r="1" spans="1:7" ht="39.75" customHeight="1" x14ac:dyDescent="0.35">
      <c r="A1" s="110" t="s">
        <v>0</v>
      </c>
      <c r="B1" s="110"/>
      <c r="C1" s="110"/>
      <c r="D1" s="110"/>
      <c r="E1" s="110"/>
    </row>
    <row r="2" spans="1:7" ht="13.5" customHeight="1" x14ac:dyDescent="0.35">
      <c r="A2" s="106" t="s">
        <v>87</v>
      </c>
      <c r="B2" s="106"/>
      <c r="C2" s="106"/>
      <c r="D2" s="106"/>
      <c r="E2" s="106"/>
    </row>
    <row r="4" spans="1:7" ht="15" customHeight="1" x14ac:dyDescent="0.35">
      <c r="A4" s="107" t="s">
        <v>1</v>
      </c>
      <c r="B4" s="107"/>
      <c r="C4" s="107" t="s">
        <v>2</v>
      </c>
      <c r="D4" s="107"/>
      <c r="E4" s="107"/>
    </row>
    <row r="5" spans="1:7" ht="18" customHeight="1" x14ac:dyDescent="0.35">
      <c r="A5" s="1" t="s">
        <v>3</v>
      </c>
      <c r="B5" s="2">
        <v>6</v>
      </c>
      <c r="C5" s="1" t="s">
        <v>4</v>
      </c>
      <c r="D5" s="2">
        <v>200</v>
      </c>
      <c r="E5" s="3" t="s">
        <v>5</v>
      </c>
    </row>
    <row r="6" spans="1:7" ht="18" customHeight="1" x14ac:dyDescent="0.35">
      <c r="A6" s="1" t="s">
        <v>6</v>
      </c>
      <c r="B6" s="2">
        <v>120</v>
      </c>
      <c r="C6" s="1" t="s">
        <v>7</v>
      </c>
      <c r="D6" s="4">
        <f>D5/2</f>
        <v>100</v>
      </c>
      <c r="E6" s="3" t="s">
        <v>8</v>
      </c>
    </row>
    <row r="7" spans="1:7" ht="18" customHeight="1" x14ac:dyDescent="0.35">
      <c r="A7" s="1" t="s">
        <v>9</v>
      </c>
      <c r="B7" s="4">
        <f>B5*B6</f>
        <v>720</v>
      </c>
      <c r="C7" s="1" t="s">
        <v>10</v>
      </c>
      <c r="D7" s="4">
        <f>D5/2</f>
        <v>100</v>
      </c>
      <c r="E7" s="3" t="s">
        <v>8</v>
      </c>
    </row>
    <row r="8" spans="1:7" ht="18" customHeight="1" x14ac:dyDescent="0.35">
      <c r="A8" s="1" t="s">
        <v>11</v>
      </c>
      <c r="B8" s="2">
        <v>7</v>
      </c>
      <c r="C8" s="1" t="s">
        <v>12</v>
      </c>
      <c r="D8" s="4">
        <f>D6*B9</f>
        <v>600</v>
      </c>
      <c r="E8" s="3" t="s">
        <v>13</v>
      </c>
    </row>
    <row r="9" spans="1:7" ht="18" customHeight="1" x14ac:dyDescent="0.35">
      <c r="A9" s="1" t="s">
        <v>14</v>
      </c>
      <c r="B9" s="2">
        <v>6</v>
      </c>
      <c r="C9" s="1" t="s">
        <v>15</v>
      </c>
      <c r="D9" s="2">
        <v>2</v>
      </c>
      <c r="E9" s="3" t="s">
        <v>16</v>
      </c>
    </row>
    <row r="10" spans="1:7" ht="18" customHeight="1" x14ac:dyDescent="0.35">
      <c r="A10" s="1" t="s">
        <v>17</v>
      </c>
      <c r="B10" s="2">
        <v>330</v>
      </c>
      <c r="C10" s="1" t="s">
        <v>18</v>
      </c>
      <c r="D10" s="2">
        <v>4</v>
      </c>
      <c r="E10" s="3" t="s">
        <v>16</v>
      </c>
    </row>
    <row r="11" spans="1:7" ht="18" customHeight="1" x14ac:dyDescent="0.35">
      <c r="A11" s="1" t="s">
        <v>19</v>
      </c>
      <c r="B11" s="4">
        <f>B10/1000</f>
        <v>0.33</v>
      </c>
      <c r="C11" s="1" t="s">
        <v>20</v>
      </c>
      <c r="D11" s="2">
        <v>2</v>
      </c>
      <c r="E11" s="3" t="s">
        <v>21</v>
      </c>
    </row>
    <row r="12" spans="1:7" ht="18" customHeight="1" x14ac:dyDescent="0.35">
      <c r="A12" s="1" t="s">
        <v>90</v>
      </c>
      <c r="B12" s="4">
        <f>INT(B6/B11)</f>
        <v>363</v>
      </c>
      <c r="C12" s="1" t="s">
        <v>22</v>
      </c>
      <c r="D12" s="2">
        <v>1</v>
      </c>
      <c r="E12" s="3" t="s">
        <v>21</v>
      </c>
    </row>
    <row r="15" spans="1:7" ht="21.75" customHeight="1" x14ac:dyDescent="0.35">
      <c r="A15" s="107" t="s">
        <v>23</v>
      </c>
      <c r="B15" s="107"/>
      <c r="C15" s="107"/>
      <c r="D15" s="107"/>
      <c r="E15" s="107"/>
    </row>
    <row r="16" spans="1:7" ht="32.25" customHeight="1" x14ac:dyDescent="0.35">
      <c r="A16" s="5" t="s">
        <v>24</v>
      </c>
      <c r="B16" s="5" t="s">
        <v>25</v>
      </c>
      <c r="C16" s="5" t="s">
        <v>26</v>
      </c>
      <c r="D16" s="5" t="s">
        <v>120</v>
      </c>
      <c r="E16" s="5" t="s">
        <v>27</v>
      </c>
      <c r="F16" s="5" t="s">
        <v>28</v>
      </c>
      <c r="G16" s="5" t="s">
        <v>29</v>
      </c>
    </row>
    <row r="17" spans="1:8" ht="16.5" customHeight="1" x14ac:dyDescent="0.35">
      <c r="A17" s="6" t="s">
        <v>30</v>
      </c>
      <c r="B17" s="2">
        <v>54</v>
      </c>
      <c r="C17" s="7" t="s">
        <v>31</v>
      </c>
      <c r="D17" s="41">
        <f>(RECETAS!B22*80)+(RECETAS!B22*80)</f>
        <v>36</v>
      </c>
      <c r="E17" s="4">
        <v>2</v>
      </c>
      <c r="F17" s="7" t="s">
        <v>32</v>
      </c>
      <c r="G17" s="4">
        <v>25</v>
      </c>
      <c r="H17" s="7" t="s">
        <v>31</v>
      </c>
    </row>
    <row r="18" spans="1:8" ht="16.5" customHeight="1" x14ac:dyDescent="0.35">
      <c r="A18" s="6" t="s">
        <v>33</v>
      </c>
      <c r="B18" s="2">
        <v>50</v>
      </c>
      <c r="C18" s="7" t="s">
        <v>31</v>
      </c>
      <c r="D18" s="41">
        <f>(RECETAS!D23*80)+(RECETAS!E23*80)</f>
        <v>30.666666666666664</v>
      </c>
      <c r="E18" s="4">
        <v>2</v>
      </c>
      <c r="F18" s="7" t="s">
        <v>32</v>
      </c>
      <c r="G18" s="4">
        <v>25</v>
      </c>
      <c r="H18" s="7" t="s">
        <v>31</v>
      </c>
    </row>
    <row r="19" spans="1:8" ht="16.5" customHeight="1" x14ac:dyDescent="0.35">
      <c r="A19" s="6" t="s">
        <v>34</v>
      </c>
      <c r="B19" s="2">
        <v>30</v>
      </c>
      <c r="C19" s="7" t="s">
        <v>31</v>
      </c>
      <c r="D19" s="41">
        <f>(RECETAS!F24*80)</f>
        <v>18.666666666666668</v>
      </c>
      <c r="E19" s="4">
        <v>2</v>
      </c>
      <c r="F19" s="7" t="s">
        <v>32</v>
      </c>
      <c r="G19" s="4">
        <v>25</v>
      </c>
      <c r="H19" s="7" t="s">
        <v>31</v>
      </c>
    </row>
    <row r="20" spans="1:8" ht="16.5" customHeight="1" x14ac:dyDescent="0.35">
      <c r="A20" s="6" t="s">
        <v>35</v>
      </c>
      <c r="B20" s="2">
        <v>25</v>
      </c>
      <c r="C20" s="7" t="s">
        <v>31</v>
      </c>
      <c r="D20" s="41">
        <f>(RECETAS!G25*80)</f>
        <v>15.333333333333334</v>
      </c>
      <c r="E20" s="4">
        <v>2</v>
      </c>
      <c r="F20" s="7" t="s">
        <v>32</v>
      </c>
      <c r="G20" s="4">
        <v>25</v>
      </c>
      <c r="H20" s="7" t="s">
        <v>31</v>
      </c>
    </row>
    <row r="21" spans="1:8" ht="16.5" customHeight="1" x14ac:dyDescent="0.35">
      <c r="A21" s="6" t="s">
        <v>36</v>
      </c>
      <c r="B21" s="2">
        <f>1200/1000</f>
        <v>1.2</v>
      </c>
      <c r="C21" s="7" t="s">
        <v>31</v>
      </c>
      <c r="D21" s="41">
        <f>(RECETAS!B26*80)+(RECETAS!C26*80)+(RECETAS!D26*80)+(RECETAS!E26*80)+(RECETAS!F26*80)+(RECETAS!G26*80)</f>
        <v>1.1466666666666667</v>
      </c>
      <c r="E21" s="4">
        <v>2</v>
      </c>
      <c r="F21" s="7" t="s">
        <v>37</v>
      </c>
      <c r="G21" s="4">
        <v>1</v>
      </c>
      <c r="H21" s="7" t="s">
        <v>31</v>
      </c>
    </row>
    <row r="22" spans="1:8" ht="16.5" customHeight="1" x14ac:dyDescent="0.35">
      <c r="A22" s="6" t="s">
        <v>38</v>
      </c>
      <c r="B22" s="2">
        <f>500/1000</f>
        <v>0.5</v>
      </c>
      <c r="C22" s="7" t="s">
        <v>31</v>
      </c>
      <c r="D22" s="41">
        <f>(RECETAS!B27*80)+(RECETAS!C27*80)+(RECETAS!D27*80)+(RECETAS!E27*80)+(RECETAS!F27*80)+(RECETAS!G27*80)</f>
        <v>0.29899999999999999</v>
      </c>
      <c r="E22" s="4">
        <v>2</v>
      </c>
      <c r="F22" s="7" t="s">
        <v>39</v>
      </c>
      <c r="G22" s="4">
        <v>0.5</v>
      </c>
      <c r="H22" s="7" t="s">
        <v>31</v>
      </c>
    </row>
    <row r="23" spans="1:8" ht="16.5" customHeight="1" x14ac:dyDescent="0.35">
      <c r="A23" s="6" t="s">
        <v>40</v>
      </c>
      <c r="B23" s="2">
        <f>4000/1000</f>
        <v>4</v>
      </c>
      <c r="C23" s="7" t="s">
        <v>31</v>
      </c>
      <c r="D23" s="41">
        <f>(RECETAS!C28*80)+(RECETAS!D28*80)</f>
        <v>6.6666666666666661</v>
      </c>
      <c r="E23" s="4">
        <v>1</v>
      </c>
      <c r="F23" s="7" t="s">
        <v>92</v>
      </c>
      <c r="G23" s="4">
        <v>27</v>
      </c>
      <c r="H23" s="7" t="s">
        <v>31</v>
      </c>
    </row>
    <row r="24" spans="1:8" ht="16.5" customHeight="1" x14ac:dyDescent="0.35">
      <c r="A24" s="6" t="s">
        <v>41</v>
      </c>
      <c r="B24" s="2">
        <v>400</v>
      </c>
      <c r="C24" s="7" t="s">
        <v>42</v>
      </c>
      <c r="D24" s="8">
        <v>242</v>
      </c>
      <c r="E24" s="4">
        <v>1</v>
      </c>
      <c r="F24" s="7" t="s">
        <v>43</v>
      </c>
      <c r="G24" s="4">
        <v>24</v>
      </c>
      <c r="H24" s="7" t="s">
        <v>42</v>
      </c>
    </row>
    <row r="25" spans="1:8" ht="16.5" customHeight="1" x14ac:dyDescent="0.35">
      <c r="A25" s="6" t="s">
        <v>91</v>
      </c>
      <c r="B25" s="2">
        <v>500</v>
      </c>
      <c r="C25" s="7" t="s">
        <v>44</v>
      </c>
      <c r="D25" s="8">
        <v>242</v>
      </c>
      <c r="E25" s="4">
        <v>1</v>
      </c>
      <c r="F25" s="7" t="s">
        <v>45</v>
      </c>
      <c r="G25" s="4">
        <v>100</v>
      </c>
      <c r="H25" s="7" t="s">
        <v>44</v>
      </c>
    </row>
  </sheetData>
  <mergeCells count="5">
    <mergeCell ref="A1:E1"/>
    <mergeCell ref="A2:E2"/>
    <mergeCell ref="A4:B4"/>
    <mergeCell ref="C4:E4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B788"/>
  </sheetPr>
  <dimension ref="A1:K31"/>
  <sheetViews>
    <sheetView showGridLines="0" topLeftCell="A16" zoomScale="97" zoomScaleNormal="100" workbookViewId="0">
      <selection activeCell="A18" sqref="A18:H18"/>
    </sheetView>
  </sheetViews>
  <sheetFormatPr baseColWidth="10" defaultColWidth="8.6328125" defaultRowHeight="14.5" x14ac:dyDescent="0.35"/>
  <cols>
    <col min="1" max="1" width="22" customWidth="1"/>
    <col min="2" max="8" width="14" customWidth="1"/>
  </cols>
  <sheetData>
    <row r="1" spans="1:9" ht="37.5" customHeight="1" x14ac:dyDescent="0.35">
      <c r="A1" s="105" t="s">
        <v>86</v>
      </c>
      <c r="B1" s="105"/>
      <c r="C1" s="105"/>
      <c r="D1" s="105"/>
      <c r="E1" s="105"/>
      <c r="F1" s="105"/>
      <c r="G1" s="105"/>
      <c r="H1" s="105"/>
    </row>
    <row r="2" spans="1:9" ht="15" customHeight="1" x14ac:dyDescent="0.35">
      <c r="A2" s="106">
        <v>120</v>
      </c>
      <c r="B2" s="106"/>
      <c r="C2" s="106"/>
      <c r="D2" s="106"/>
      <c r="E2" s="106"/>
      <c r="F2" s="106"/>
      <c r="G2" s="106"/>
      <c r="H2" s="106"/>
    </row>
    <row r="4" spans="1:9" ht="21.75" customHeight="1" x14ac:dyDescent="0.35">
      <c r="A4" s="9" t="s">
        <v>46</v>
      </c>
      <c r="B4" s="10" t="s">
        <v>47</v>
      </c>
      <c r="C4" s="10" t="s">
        <v>80</v>
      </c>
      <c r="D4" s="10" t="s">
        <v>81</v>
      </c>
      <c r="E4" s="10" t="s">
        <v>82</v>
      </c>
      <c r="F4" s="10" t="s">
        <v>83</v>
      </c>
      <c r="G4" s="10" t="s">
        <v>84</v>
      </c>
      <c r="H4" s="43" t="s">
        <v>72</v>
      </c>
      <c r="I4" s="43" t="s">
        <v>73</v>
      </c>
    </row>
    <row r="5" spans="1:9" ht="16.5" customHeight="1" x14ac:dyDescent="0.35">
      <c r="A5" s="1" t="s">
        <v>48</v>
      </c>
      <c r="B5" s="11">
        <v>27</v>
      </c>
      <c r="C5" s="11">
        <v>26</v>
      </c>
      <c r="D5" s="12" t="s">
        <v>49</v>
      </c>
      <c r="E5" s="12" t="s">
        <v>49</v>
      </c>
      <c r="F5" s="12" t="s">
        <v>49</v>
      </c>
      <c r="G5" s="12" t="s">
        <v>49</v>
      </c>
      <c r="H5">
        <f>B5+C5</f>
        <v>53</v>
      </c>
      <c r="I5">
        <f>H5*2</f>
        <v>106</v>
      </c>
    </row>
    <row r="6" spans="1:9" ht="16.5" customHeight="1" x14ac:dyDescent="0.35">
      <c r="A6" s="1" t="s">
        <v>50</v>
      </c>
      <c r="B6" s="12" t="s">
        <v>49</v>
      </c>
      <c r="C6" s="12" t="s">
        <v>49</v>
      </c>
      <c r="D6" s="11">
        <v>24</v>
      </c>
      <c r="E6" s="11">
        <v>22</v>
      </c>
      <c r="F6" s="12" t="s">
        <v>49</v>
      </c>
      <c r="G6" s="12" t="s">
        <v>49</v>
      </c>
      <c r="H6">
        <f>D6+E6</f>
        <v>46</v>
      </c>
      <c r="I6">
        <f t="shared" ref="I6:I8" si="0">H6*2</f>
        <v>92</v>
      </c>
    </row>
    <row r="7" spans="1:9" ht="16.5" customHeight="1" x14ac:dyDescent="0.35">
      <c r="A7" s="1" t="s">
        <v>51</v>
      </c>
      <c r="B7" s="12" t="s">
        <v>49</v>
      </c>
      <c r="C7" s="12" t="s">
        <v>49</v>
      </c>
      <c r="D7" s="12" t="s">
        <v>49</v>
      </c>
      <c r="E7" s="12" t="s">
        <v>49</v>
      </c>
      <c r="F7" s="11">
        <v>28</v>
      </c>
      <c r="G7" s="12" t="s">
        <v>49</v>
      </c>
      <c r="H7">
        <f>F7</f>
        <v>28</v>
      </c>
      <c r="I7">
        <f t="shared" si="0"/>
        <v>56</v>
      </c>
    </row>
    <row r="8" spans="1:9" ht="16.5" customHeight="1" x14ac:dyDescent="0.35">
      <c r="A8" s="1" t="s">
        <v>52</v>
      </c>
      <c r="B8" s="12" t="s">
        <v>49</v>
      </c>
      <c r="C8" s="12" t="s">
        <v>49</v>
      </c>
      <c r="D8" s="12" t="s">
        <v>49</v>
      </c>
      <c r="E8" s="12" t="s">
        <v>49</v>
      </c>
      <c r="F8" s="12" t="s">
        <v>49</v>
      </c>
      <c r="G8" s="11">
        <v>23</v>
      </c>
      <c r="H8">
        <f>G8</f>
        <v>23</v>
      </c>
      <c r="I8">
        <f t="shared" si="0"/>
        <v>46</v>
      </c>
    </row>
    <row r="9" spans="1:9" ht="16.5" customHeight="1" x14ac:dyDescent="0.35">
      <c r="A9" s="1" t="s">
        <v>93</v>
      </c>
      <c r="B9" s="11">
        <f>595/1000</f>
        <v>0.59499999999999997</v>
      </c>
      <c r="C9" s="18">
        <f>540/1000</f>
        <v>0.54</v>
      </c>
      <c r="D9" s="11">
        <f>165/1000</f>
        <v>0.16500000000000001</v>
      </c>
      <c r="E9" s="11">
        <f>165/1000</f>
        <v>0.16500000000000001</v>
      </c>
      <c r="F9" s="11">
        <f>135/1000</f>
        <v>0.13500000000000001</v>
      </c>
      <c r="G9" s="18">
        <f>120/1000</f>
        <v>0.12</v>
      </c>
    </row>
    <row r="10" spans="1:9" ht="16.5" customHeight="1" x14ac:dyDescent="0.35">
      <c r="A10" s="1" t="s">
        <v>94</v>
      </c>
      <c r="B10" s="11">
        <f>(11.5*7)/1000</f>
        <v>8.0500000000000002E-2</v>
      </c>
      <c r="C10" s="11">
        <f>(11.5*7)/1000</f>
        <v>8.0500000000000002E-2</v>
      </c>
      <c r="D10" s="11">
        <f>(11.5*6)/1000</f>
        <v>6.9000000000000006E-2</v>
      </c>
      <c r="E10" s="11">
        <f>(11.5*6)/1000</f>
        <v>6.9000000000000006E-2</v>
      </c>
      <c r="F10" s="11">
        <f>(11.5*7)/1000</f>
        <v>8.0500000000000002E-2</v>
      </c>
      <c r="G10" s="11">
        <f>(11.5*6)/1000</f>
        <v>6.9000000000000006E-2</v>
      </c>
    </row>
    <row r="11" spans="1:9" ht="16.5" customHeight="1" x14ac:dyDescent="0.35">
      <c r="A11" s="1" t="s">
        <v>95</v>
      </c>
      <c r="B11" s="12" t="s">
        <v>49</v>
      </c>
      <c r="C11" s="11">
        <f>5.5</f>
        <v>5.5</v>
      </c>
      <c r="D11" s="11">
        <f>4.5</f>
        <v>4.5</v>
      </c>
      <c r="E11" s="12" t="s">
        <v>49</v>
      </c>
      <c r="F11" s="12" t="s">
        <v>49</v>
      </c>
      <c r="G11" s="12" t="s">
        <v>49</v>
      </c>
    </row>
    <row r="12" spans="1:9" ht="16.5" customHeight="1" x14ac:dyDescent="0.35">
      <c r="A12" s="1" t="s">
        <v>53</v>
      </c>
      <c r="B12" s="11">
        <v>363</v>
      </c>
      <c r="C12" s="11">
        <v>363</v>
      </c>
      <c r="D12" s="11">
        <v>363</v>
      </c>
      <c r="E12" s="11">
        <v>363</v>
      </c>
      <c r="F12" s="11">
        <v>363</v>
      </c>
      <c r="G12" s="11">
        <v>363</v>
      </c>
    </row>
    <row r="13" spans="1:9" ht="16.5" customHeight="1" x14ac:dyDescent="0.35">
      <c r="A13" s="1" t="s">
        <v>54</v>
      </c>
      <c r="B13" s="11">
        <v>363</v>
      </c>
      <c r="C13" s="11">
        <v>363</v>
      </c>
      <c r="D13" s="11">
        <v>363</v>
      </c>
      <c r="E13" s="11">
        <v>363</v>
      </c>
      <c r="F13" s="11">
        <v>363</v>
      </c>
      <c r="G13" s="11">
        <v>363</v>
      </c>
    </row>
    <row r="14" spans="1:9" ht="16.5" customHeight="1" x14ac:dyDescent="0.35">
      <c r="A14" s="1" t="s">
        <v>85</v>
      </c>
      <c r="B14" s="11">
        <v>380</v>
      </c>
      <c r="C14" s="11">
        <v>380</v>
      </c>
      <c r="D14" s="11">
        <v>380</v>
      </c>
      <c r="E14" s="11">
        <v>380</v>
      </c>
      <c r="F14" s="11">
        <v>380</v>
      </c>
      <c r="G14" s="11">
        <v>380</v>
      </c>
    </row>
    <row r="18" spans="1:11" ht="16.5" x14ac:dyDescent="0.35">
      <c r="A18" s="105" t="s">
        <v>97</v>
      </c>
      <c r="B18" s="105"/>
      <c r="C18" s="105"/>
      <c r="D18" s="105"/>
      <c r="E18" s="105"/>
      <c r="F18" s="105"/>
      <c r="G18" s="105"/>
      <c r="H18" s="105"/>
    </row>
    <row r="19" spans="1:11" x14ac:dyDescent="0.35">
      <c r="A19" s="106" t="s">
        <v>96</v>
      </c>
      <c r="B19" s="106"/>
      <c r="C19" s="106"/>
      <c r="D19" s="106"/>
      <c r="E19" s="106"/>
      <c r="F19" s="106"/>
      <c r="G19" s="106"/>
      <c r="H19" s="106"/>
    </row>
    <row r="21" spans="1:11" ht="23" x14ac:dyDescent="0.35">
      <c r="A21" s="9" t="s">
        <v>46</v>
      </c>
      <c r="B21" s="10" t="s">
        <v>47</v>
      </c>
      <c r="C21" s="10" t="s">
        <v>80</v>
      </c>
      <c r="D21" s="10" t="s">
        <v>81</v>
      </c>
      <c r="E21" s="10" t="s">
        <v>82</v>
      </c>
      <c r="F21" s="10" t="s">
        <v>83</v>
      </c>
      <c r="G21" s="10" t="s">
        <v>84</v>
      </c>
    </row>
    <row r="22" spans="1:11" x14ac:dyDescent="0.35">
      <c r="A22" s="1" t="s">
        <v>48</v>
      </c>
      <c r="B22" s="11">
        <f>27/A2</f>
        <v>0.22500000000000001</v>
      </c>
      <c r="C22" s="18">
        <f>26/A2</f>
        <v>0.21666666666666667</v>
      </c>
      <c r="D22" s="12" t="s">
        <v>49</v>
      </c>
      <c r="E22" s="12" t="s">
        <v>49</v>
      </c>
      <c r="F22" s="12" t="s">
        <v>49</v>
      </c>
      <c r="G22" s="12" t="s">
        <v>49</v>
      </c>
      <c r="I22" s="111" t="s">
        <v>98</v>
      </c>
      <c r="J22" s="111"/>
      <c r="K22" s="111"/>
    </row>
    <row r="23" spans="1:11" x14ac:dyDescent="0.35">
      <c r="A23" s="1" t="s">
        <v>50</v>
      </c>
      <c r="B23" s="12" t="s">
        <v>49</v>
      </c>
      <c r="C23" s="12" t="s">
        <v>49</v>
      </c>
      <c r="D23" s="18">
        <f>24/A2</f>
        <v>0.2</v>
      </c>
      <c r="E23" s="18">
        <f>22/A2</f>
        <v>0.18333333333333332</v>
      </c>
      <c r="F23" s="12" t="s">
        <v>49</v>
      </c>
      <c r="G23" s="12" t="s">
        <v>49</v>
      </c>
      <c r="I23" s="111"/>
      <c r="J23" s="111"/>
      <c r="K23" s="111"/>
    </row>
    <row r="24" spans="1:11" x14ac:dyDescent="0.35">
      <c r="A24" s="1" t="s">
        <v>51</v>
      </c>
      <c r="B24" s="12" t="s">
        <v>49</v>
      </c>
      <c r="C24" s="12" t="s">
        <v>49</v>
      </c>
      <c r="D24" s="12" t="s">
        <v>49</v>
      </c>
      <c r="E24" s="12" t="s">
        <v>49</v>
      </c>
      <c r="F24" s="18">
        <f>28/A2</f>
        <v>0.23333333333333334</v>
      </c>
      <c r="G24" s="12" t="s">
        <v>49</v>
      </c>
      <c r="I24" s="111"/>
      <c r="J24" s="111"/>
      <c r="K24" s="111"/>
    </row>
    <row r="25" spans="1:11" x14ac:dyDescent="0.35">
      <c r="A25" s="1" t="s">
        <v>52</v>
      </c>
      <c r="B25" s="12" t="s">
        <v>49</v>
      </c>
      <c r="C25" s="12" t="s">
        <v>49</v>
      </c>
      <c r="D25" s="12" t="s">
        <v>49</v>
      </c>
      <c r="E25" s="12" t="s">
        <v>49</v>
      </c>
      <c r="F25" s="12" t="s">
        <v>49</v>
      </c>
      <c r="G25" s="18">
        <f>23/A2</f>
        <v>0.19166666666666668</v>
      </c>
      <c r="I25" s="111"/>
      <c r="J25" s="111"/>
      <c r="K25" s="111"/>
    </row>
    <row r="26" spans="1:11" x14ac:dyDescent="0.35">
      <c r="A26" s="1" t="s">
        <v>93</v>
      </c>
      <c r="B26" s="20">
        <f>(595/1000)/A2</f>
        <v>4.9583333333333328E-3</v>
      </c>
      <c r="C26" s="20">
        <f>(540/1000)/A2</f>
        <v>4.5000000000000005E-3</v>
      </c>
      <c r="D26" s="11">
        <f>(165/1000)/A2</f>
        <v>1.3750000000000001E-3</v>
      </c>
      <c r="E26" s="20">
        <f>(165/1000)/A2</f>
        <v>1.3750000000000001E-3</v>
      </c>
      <c r="F26" s="11">
        <f>(135/1000)/A2</f>
        <v>1.1250000000000001E-3</v>
      </c>
      <c r="G26" s="18">
        <f>(120/1000)/A2</f>
        <v>1E-3</v>
      </c>
    </row>
    <row r="27" spans="1:11" x14ac:dyDescent="0.35">
      <c r="A27" s="1" t="s">
        <v>94</v>
      </c>
      <c r="B27" s="11">
        <f>((11.5*7)/1000)/A2</f>
        <v>6.7083333333333339E-4</v>
      </c>
      <c r="C27" s="11">
        <f>((11.5*7)/1000)/A2</f>
        <v>6.7083333333333339E-4</v>
      </c>
      <c r="D27" s="11">
        <f>((11.5*6)/1000)/A2</f>
        <v>5.750000000000001E-4</v>
      </c>
      <c r="E27" s="11">
        <f>((11.5*6)/1000)/A2</f>
        <v>5.750000000000001E-4</v>
      </c>
      <c r="F27" s="11">
        <f>((11.5*7)/1000)/A2</f>
        <v>6.7083333333333339E-4</v>
      </c>
      <c r="G27" s="11">
        <f>((11.5*6)/1000)/A2</f>
        <v>5.750000000000001E-4</v>
      </c>
    </row>
    <row r="28" spans="1:11" x14ac:dyDescent="0.35">
      <c r="A28" s="1" t="s">
        <v>95</v>
      </c>
      <c r="B28" s="12" t="s">
        <v>49</v>
      </c>
      <c r="C28" s="11">
        <f>(5.5)/A2</f>
        <v>4.583333333333333E-2</v>
      </c>
      <c r="D28" s="11">
        <f>(4.5)/A2</f>
        <v>3.7499999999999999E-2</v>
      </c>
      <c r="E28" s="12" t="s">
        <v>49</v>
      </c>
      <c r="F28" s="12" t="s">
        <v>49</v>
      </c>
      <c r="G28" s="12" t="s">
        <v>49</v>
      </c>
    </row>
    <row r="29" spans="1:11" x14ac:dyDescent="0.35">
      <c r="A29" s="1" t="s">
        <v>85</v>
      </c>
      <c r="B29" s="21">
        <f>380/$A$2</f>
        <v>3.1666666666666665</v>
      </c>
      <c r="C29" s="21">
        <f t="shared" ref="C29:G29" si="1">380/$A$2</f>
        <v>3.1666666666666665</v>
      </c>
      <c r="D29" s="21">
        <f t="shared" si="1"/>
        <v>3.1666666666666665</v>
      </c>
      <c r="E29" s="21">
        <f t="shared" si="1"/>
        <v>3.1666666666666665</v>
      </c>
      <c r="F29" s="21">
        <f t="shared" si="1"/>
        <v>3.1666666666666665</v>
      </c>
      <c r="G29" s="21">
        <f t="shared" si="1"/>
        <v>3.1666666666666665</v>
      </c>
    </row>
    <row r="30" spans="1:11" ht="12" customHeight="1" x14ac:dyDescent="0.35">
      <c r="A30" s="1" t="s">
        <v>53</v>
      </c>
      <c r="B30" s="11">
        <f>3</f>
        <v>3</v>
      </c>
      <c r="C30" s="11">
        <v>3</v>
      </c>
      <c r="D30" s="11">
        <v>3</v>
      </c>
      <c r="E30" s="11">
        <v>3</v>
      </c>
      <c r="F30" s="11">
        <v>3</v>
      </c>
      <c r="G30" s="11">
        <v>3</v>
      </c>
    </row>
    <row r="31" spans="1:11" x14ac:dyDescent="0.35">
      <c r="A31" s="1" t="s">
        <v>54</v>
      </c>
      <c r="B31" s="11">
        <v>3</v>
      </c>
      <c r="C31" s="11">
        <v>3</v>
      </c>
      <c r="D31" s="11">
        <v>3</v>
      </c>
      <c r="E31" s="11">
        <v>3</v>
      </c>
      <c r="F31" s="11">
        <v>3</v>
      </c>
      <c r="G31" s="11">
        <v>3</v>
      </c>
    </row>
  </sheetData>
  <mergeCells count="5">
    <mergeCell ref="A1:H1"/>
    <mergeCell ref="A2:H2"/>
    <mergeCell ref="A18:H18"/>
    <mergeCell ref="A19:H19"/>
    <mergeCell ref="I22:K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4F72"/>
  </sheetPr>
  <dimension ref="A1:G10"/>
  <sheetViews>
    <sheetView showGridLines="0" zoomScale="112" zoomScaleNormal="100"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A7" sqref="A7"/>
    </sheetView>
  </sheetViews>
  <sheetFormatPr baseColWidth="10" defaultColWidth="8.6328125" defaultRowHeight="14.5" x14ac:dyDescent="0.35"/>
  <cols>
    <col min="1" max="1" width="28" customWidth="1"/>
    <col min="2" max="6" width="12" customWidth="1"/>
    <col min="7" max="7" width="18" customWidth="1"/>
  </cols>
  <sheetData>
    <row r="1" spans="1:7" ht="37.5" customHeight="1" x14ac:dyDescent="0.35">
      <c r="A1" s="105" t="s">
        <v>55</v>
      </c>
      <c r="B1" s="105"/>
      <c r="C1" s="105"/>
      <c r="D1" s="105"/>
      <c r="E1" s="105"/>
      <c r="F1" s="105"/>
      <c r="G1" s="105"/>
    </row>
    <row r="2" spans="1:7" ht="15" customHeight="1" thickBot="1" x14ac:dyDescent="0.4">
      <c r="A2" s="106" t="s">
        <v>122</v>
      </c>
      <c r="B2" s="106"/>
      <c r="C2" s="106"/>
      <c r="D2" s="106"/>
      <c r="E2" s="106"/>
      <c r="F2" s="106"/>
      <c r="G2" s="106"/>
    </row>
    <row r="3" spans="1:7" ht="19.5" customHeight="1" thickBot="1" x14ac:dyDescent="0.4">
      <c r="A3" s="112" t="s">
        <v>57</v>
      </c>
      <c r="B3" s="112"/>
      <c r="C3" s="112"/>
      <c r="D3" s="112"/>
      <c r="E3" s="112"/>
      <c r="F3" s="112"/>
      <c r="G3" s="112"/>
    </row>
    <row r="4" spans="1:7" ht="16.5" customHeight="1" x14ac:dyDescent="0.35">
      <c r="A4" s="1" t="s">
        <v>58</v>
      </c>
      <c r="B4" s="11">
        <v>6</v>
      </c>
      <c r="C4" s="3" t="s">
        <v>59</v>
      </c>
      <c r="D4" s="15"/>
      <c r="E4" s="15"/>
      <c r="F4" s="15"/>
      <c r="G4" s="15"/>
    </row>
    <row r="5" spans="1:7" ht="16.5" customHeight="1" x14ac:dyDescent="0.35">
      <c r="A5" s="1" t="s">
        <v>60</v>
      </c>
      <c r="B5" s="11">
        <v>6</v>
      </c>
      <c r="C5" s="3" t="s">
        <v>59</v>
      </c>
      <c r="D5" s="15"/>
      <c r="E5" s="15"/>
      <c r="F5" s="15"/>
      <c r="G5" s="15"/>
    </row>
    <row r="6" spans="1:7" ht="16.5" customHeight="1" x14ac:dyDescent="0.35">
      <c r="A6" s="1" t="s">
        <v>61</v>
      </c>
      <c r="B6" s="16">
        <f>PARÁMETROS!B7*2</f>
        <v>1440</v>
      </c>
      <c r="C6" s="3" t="s">
        <v>62</v>
      </c>
      <c r="D6" s="15"/>
      <c r="E6" s="15"/>
      <c r="F6" s="15"/>
      <c r="G6" s="15"/>
    </row>
    <row r="7" spans="1:7" ht="16.5" customHeight="1" x14ac:dyDescent="0.35">
      <c r="A7" s="1" t="s">
        <v>63</v>
      </c>
      <c r="B7" s="16">
        <f>720-600</f>
        <v>120</v>
      </c>
      <c r="C7" s="3" t="s">
        <v>64</v>
      </c>
      <c r="D7" s="15"/>
      <c r="E7" s="15"/>
      <c r="F7" s="15"/>
      <c r="G7" s="15"/>
    </row>
    <row r="8" spans="1:7" ht="16.5" customHeight="1" x14ac:dyDescent="0.35">
      <c r="A8" s="1" t="s">
        <v>65</v>
      </c>
      <c r="B8" s="16">
        <f>720-600</f>
        <v>120</v>
      </c>
      <c r="C8" s="3" t="s">
        <v>64</v>
      </c>
      <c r="D8" s="15"/>
      <c r="E8" s="15"/>
      <c r="F8" s="15"/>
      <c r="G8" s="15"/>
    </row>
    <row r="10" spans="1:7" x14ac:dyDescent="0.35">
      <c r="B10">
        <f>B7/6</f>
        <v>20</v>
      </c>
      <c r="C10" s="42" t="s">
        <v>121</v>
      </c>
    </row>
  </sheetData>
  <mergeCells count="3">
    <mergeCell ref="A3:G3"/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EC20-E864-4853-AD03-CF52B3424881}">
  <sheetPr>
    <tabColor rgb="FF4A148C"/>
  </sheetPr>
  <dimension ref="A1:R78"/>
  <sheetViews>
    <sheetView showGridLines="0" tabSelected="1" zoomScale="57" zoomScaleNormal="30" workbookViewId="0">
      <pane xSplit="1" ySplit="4" topLeftCell="B58" activePane="bottomRight" state="frozen"/>
      <selection pane="topRight" activeCell="B1" sqref="B1"/>
      <selection pane="bottomLeft" activeCell="A5" sqref="A5"/>
      <selection pane="bottomRight" activeCell="D67" sqref="D67"/>
    </sheetView>
  </sheetViews>
  <sheetFormatPr baseColWidth="10" defaultColWidth="8.6328125" defaultRowHeight="14.5" x14ac:dyDescent="0.35"/>
  <cols>
    <col min="1" max="1" width="47.1796875" customWidth="1"/>
    <col min="2" max="2" width="38.1796875" customWidth="1"/>
    <col min="3" max="3" width="19.36328125" customWidth="1"/>
    <col min="4" max="4" width="16" customWidth="1"/>
    <col min="5" max="5" width="12.81640625" bestFit="1" customWidth="1"/>
    <col min="6" max="6" width="15.26953125" bestFit="1" customWidth="1"/>
    <col min="7" max="7" width="18" customWidth="1"/>
    <col min="8" max="8" width="26.08984375" customWidth="1"/>
    <col min="9" max="9" width="41.453125" customWidth="1"/>
    <col min="11" max="11" width="5.26953125" customWidth="1"/>
    <col min="12" max="12" width="25.1796875" customWidth="1"/>
    <col min="13" max="13" width="20.26953125" customWidth="1"/>
    <col min="14" max="14" width="14.08984375" customWidth="1"/>
  </cols>
  <sheetData>
    <row r="1" spans="1:18" ht="37.5" customHeight="1" x14ac:dyDescent="0.35">
      <c r="A1" s="105" t="s">
        <v>66</v>
      </c>
      <c r="B1" s="105"/>
      <c r="C1" s="105"/>
      <c r="D1" s="105"/>
      <c r="E1" s="105"/>
      <c r="F1" s="105"/>
      <c r="G1" s="105"/>
    </row>
    <row r="2" spans="1:18" ht="15" customHeight="1" x14ac:dyDescent="0.35">
      <c r="A2" s="106" t="s">
        <v>88</v>
      </c>
      <c r="B2" s="106"/>
      <c r="C2" s="106"/>
      <c r="D2" s="106"/>
      <c r="E2" s="106"/>
      <c r="F2" s="106"/>
      <c r="G2" s="106"/>
    </row>
    <row r="3" spans="1:18" ht="15" thickBot="1" x14ac:dyDescent="0.4"/>
    <row r="4" spans="1:18" ht="30" customHeight="1" thickBot="1" x14ac:dyDescent="0.4">
      <c r="A4" s="9" t="s">
        <v>67</v>
      </c>
      <c r="B4" s="10" t="s">
        <v>68</v>
      </c>
      <c r="C4" s="17" t="s">
        <v>76</v>
      </c>
      <c r="D4" s="17" t="s">
        <v>77</v>
      </c>
      <c r="E4" s="10" t="s">
        <v>78</v>
      </c>
      <c r="F4" s="10" t="s">
        <v>79</v>
      </c>
      <c r="G4" s="13" t="s">
        <v>56</v>
      </c>
      <c r="H4" s="107" t="s">
        <v>69</v>
      </c>
      <c r="I4" s="107"/>
      <c r="J4" s="107"/>
    </row>
    <row r="5" spans="1:18" ht="16.5" customHeight="1" x14ac:dyDescent="0.35">
      <c r="A5" s="35" t="s">
        <v>70</v>
      </c>
      <c r="B5" s="36" t="s">
        <v>49</v>
      </c>
      <c r="C5" s="37">
        <v>509</v>
      </c>
      <c r="D5" s="37">
        <v>510</v>
      </c>
      <c r="E5" s="37">
        <v>510</v>
      </c>
      <c r="F5" s="37">
        <v>511</v>
      </c>
      <c r="G5" s="38">
        <f>SUM(C5:F5)</f>
        <v>2040</v>
      </c>
      <c r="H5" s="35" t="s">
        <v>71</v>
      </c>
      <c r="I5" s="14">
        <f>AVERAGE(C5:F5)</f>
        <v>510</v>
      </c>
      <c r="J5" s="39" t="s">
        <v>89</v>
      </c>
    </row>
    <row r="6" spans="1:18" x14ac:dyDescent="0.35">
      <c r="C6" s="28">
        <f>C5-H9</f>
        <v>145.36363636363637</v>
      </c>
      <c r="D6" s="29">
        <f>D5-H11</f>
        <v>146.36363636363637</v>
      </c>
    </row>
    <row r="7" spans="1:18" x14ac:dyDescent="0.35">
      <c r="C7" s="25" t="s">
        <v>99</v>
      </c>
      <c r="D7" s="28">
        <f>C5-H9</f>
        <v>145.36363636363637</v>
      </c>
    </row>
    <row r="8" spans="1:18" x14ac:dyDescent="0.35">
      <c r="A8" s="33" t="s">
        <v>114</v>
      </c>
      <c r="C8" s="22"/>
      <c r="D8" s="23" t="s">
        <v>101</v>
      </c>
      <c r="E8" s="22" t="s">
        <v>102</v>
      </c>
      <c r="F8" s="22" t="s">
        <v>103</v>
      </c>
      <c r="G8" s="22" t="s">
        <v>104</v>
      </c>
      <c r="H8" s="22" t="s">
        <v>105</v>
      </c>
      <c r="I8" s="23" t="s">
        <v>111</v>
      </c>
      <c r="M8" s="23" t="s">
        <v>107</v>
      </c>
      <c r="N8" s="108" t="s">
        <v>106</v>
      </c>
      <c r="O8" s="108"/>
    </row>
    <row r="9" spans="1:18" ht="56" customHeight="1" x14ac:dyDescent="0.35">
      <c r="A9" s="34">
        <v>300</v>
      </c>
      <c r="C9" s="24" t="s">
        <v>100</v>
      </c>
      <c r="D9" s="23">
        <f>'MPS — PEDIDOS FIJOS'!B7</f>
        <v>120</v>
      </c>
      <c r="E9" s="23">
        <v>1000</v>
      </c>
      <c r="F9" s="23">
        <f>D9*E9</f>
        <v>120000</v>
      </c>
      <c r="G9" s="23">
        <v>330</v>
      </c>
      <c r="H9" s="26">
        <f>F9/G9</f>
        <v>363.63636363636363</v>
      </c>
      <c r="I9" s="23">
        <f>H9/6</f>
        <v>60.606060606060602</v>
      </c>
      <c r="M9" s="23">
        <f>H9+H11</f>
        <v>727.27272727272725</v>
      </c>
      <c r="N9" s="109">
        <f>H13-M9</f>
        <v>1454.5454545454547</v>
      </c>
      <c r="O9" s="109"/>
    </row>
    <row r="10" spans="1:18" x14ac:dyDescent="0.35">
      <c r="A10" s="33" t="s">
        <v>118</v>
      </c>
      <c r="C10" s="22"/>
      <c r="D10" s="23" t="s">
        <v>101</v>
      </c>
      <c r="E10" s="22" t="s">
        <v>102</v>
      </c>
      <c r="F10" s="22" t="s">
        <v>103</v>
      </c>
      <c r="G10" s="22" t="s">
        <v>104</v>
      </c>
      <c r="H10" s="22" t="s">
        <v>105</v>
      </c>
      <c r="I10" s="23" t="s">
        <v>111</v>
      </c>
      <c r="R10">
        <f>(G5*330)/1000</f>
        <v>673.2</v>
      </c>
    </row>
    <row r="11" spans="1:18" ht="29" x14ac:dyDescent="0.35">
      <c r="A11" s="31">
        <f>A9-C6</f>
        <v>154.63636363636363</v>
      </c>
      <c r="C11" s="24" t="s">
        <v>108</v>
      </c>
      <c r="D11" s="23">
        <f>'MPS — PEDIDOS FIJOS'!B8</f>
        <v>120</v>
      </c>
      <c r="E11" s="23">
        <v>1000</v>
      </c>
      <c r="F11" s="23">
        <f>D11*E11</f>
        <v>120000</v>
      </c>
      <c r="G11" s="23">
        <v>330</v>
      </c>
      <c r="H11" s="23">
        <f>F11/G11</f>
        <v>363.63636363636363</v>
      </c>
      <c r="I11" s="23">
        <f>H11/6</f>
        <v>60.606060606060602</v>
      </c>
      <c r="M11" s="19">
        <f>H13-G5</f>
        <v>141.81818181818198</v>
      </c>
      <c r="N11" s="19">
        <f>M11+A9</f>
        <v>441.81818181818198</v>
      </c>
    </row>
    <row r="12" spans="1:18" x14ac:dyDescent="0.35">
      <c r="A12" s="33" t="s">
        <v>119</v>
      </c>
      <c r="C12" s="22"/>
      <c r="D12" s="23" t="s">
        <v>101</v>
      </c>
      <c r="E12" s="22" t="s">
        <v>102</v>
      </c>
      <c r="F12" s="22" t="s">
        <v>103</v>
      </c>
      <c r="G12" s="22" t="s">
        <v>104</v>
      </c>
      <c r="H12" s="22" t="s">
        <v>105</v>
      </c>
      <c r="I12" s="23" t="s">
        <v>111</v>
      </c>
    </row>
    <row r="13" spans="1:18" ht="39" x14ac:dyDescent="0.35">
      <c r="A13" s="31">
        <f>A11-D6</f>
        <v>8.2727272727272521</v>
      </c>
      <c r="C13" s="24" t="s">
        <v>109</v>
      </c>
      <c r="D13" s="23">
        <f>720</f>
        <v>720</v>
      </c>
      <c r="E13" s="23">
        <v>1000</v>
      </c>
      <c r="F13" s="23">
        <f>D13*E13</f>
        <v>720000</v>
      </c>
      <c r="G13" s="23">
        <v>330</v>
      </c>
      <c r="H13" s="27">
        <f>F13/G13</f>
        <v>2181.818181818182</v>
      </c>
      <c r="I13" s="23">
        <f>H13/6</f>
        <v>363.63636363636368</v>
      </c>
      <c r="L13" s="32" t="s">
        <v>117</v>
      </c>
      <c r="M13" s="31">
        <f>M18+M20</f>
        <v>441.81818181818176</v>
      </c>
      <c r="N13">
        <f>(M13*330)/1000</f>
        <v>145.79999999999998</v>
      </c>
      <c r="P13">
        <f>1920-N13</f>
        <v>1774.2</v>
      </c>
    </row>
    <row r="17" spans="2:14" x14ac:dyDescent="0.35">
      <c r="C17" s="22"/>
      <c r="D17" s="23" t="s">
        <v>101</v>
      </c>
      <c r="E17" s="22" t="s">
        <v>102</v>
      </c>
      <c r="F17" s="22" t="s">
        <v>103</v>
      </c>
      <c r="G17" s="22" t="s">
        <v>104</v>
      </c>
      <c r="H17" s="22" t="s">
        <v>105</v>
      </c>
      <c r="I17" s="23" t="s">
        <v>111</v>
      </c>
      <c r="J17" s="103"/>
      <c r="K17" s="104"/>
    </row>
    <row r="18" spans="2:14" ht="72.5" x14ac:dyDescent="0.35">
      <c r="C18" s="24" t="s">
        <v>110</v>
      </c>
      <c r="D18" s="23">
        <v>480</v>
      </c>
      <c r="E18" s="23">
        <v>1000</v>
      </c>
      <c r="F18" s="23">
        <f>D18*E18</f>
        <v>480000</v>
      </c>
      <c r="G18" s="23">
        <v>330</v>
      </c>
      <c r="H18" s="23">
        <f>F18/G18</f>
        <v>1454.5454545454545</v>
      </c>
      <c r="I18" s="23">
        <f>H18/6</f>
        <v>242.42424242424241</v>
      </c>
      <c r="L18" s="30" t="s">
        <v>115</v>
      </c>
      <c r="M18" s="40">
        <f>H18-E5-F5</f>
        <v>433.5454545454545</v>
      </c>
      <c r="N18" s="28"/>
    </row>
    <row r="19" spans="2:14" x14ac:dyDescent="0.35">
      <c r="C19" s="22"/>
      <c r="D19" s="23" t="s">
        <v>101</v>
      </c>
      <c r="E19" s="22" t="s">
        <v>102</v>
      </c>
      <c r="F19" s="22" t="s">
        <v>103</v>
      </c>
      <c r="G19" s="22" t="s">
        <v>104</v>
      </c>
      <c r="H19" s="22" t="s">
        <v>105</v>
      </c>
      <c r="I19" s="22" t="s">
        <v>113</v>
      </c>
    </row>
    <row r="20" spans="2:14" ht="71.5" customHeight="1" x14ac:dyDescent="0.35">
      <c r="C20" s="24" t="s">
        <v>112</v>
      </c>
      <c r="D20" s="23">
        <v>80</v>
      </c>
      <c r="E20" s="23">
        <v>1000</v>
      </c>
      <c r="F20" s="23">
        <f>D20*E20</f>
        <v>80000</v>
      </c>
      <c r="G20" s="23">
        <v>330</v>
      </c>
      <c r="H20" s="23">
        <f>F20/G20</f>
        <v>242.42424242424244</v>
      </c>
      <c r="I20" s="22">
        <f>H20/2</f>
        <v>121.21212121212122</v>
      </c>
      <c r="L20" s="30" t="s">
        <v>116</v>
      </c>
      <c r="M20" s="31">
        <f>A13</f>
        <v>8.2727272727272521</v>
      </c>
    </row>
    <row r="22" spans="2:14" x14ac:dyDescent="0.35">
      <c r="I22" s="19"/>
    </row>
    <row r="24" spans="2:14" x14ac:dyDescent="0.35">
      <c r="H24" s="19"/>
    </row>
    <row r="25" spans="2:14" x14ac:dyDescent="0.35">
      <c r="E25">
        <f>D26*2</f>
        <v>336</v>
      </c>
    </row>
    <row r="26" spans="2:14" ht="43.5" x14ac:dyDescent="0.35">
      <c r="C26" s="24" t="s">
        <v>112</v>
      </c>
      <c r="D26" s="23">
        <v>168</v>
      </c>
      <c r="E26" s="23">
        <v>1000</v>
      </c>
      <c r="F26" s="23">
        <f>D26*E26</f>
        <v>168000</v>
      </c>
      <c r="G26" s="23">
        <v>330</v>
      </c>
      <c r="H26" s="23">
        <f>F26/G26</f>
        <v>509.09090909090907</v>
      </c>
      <c r="I26" s="22">
        <f>H26/2</f>
        <v>254.54545454545453</v>
      </c>
    </row>
    <row r="27" spans="2:14" x14ac:dyDescent="0.35">
      <c r="D27">
        <f>D26+D13</f>
        <v>888</v>
      </c>
    </row>
    <row r="31" spans="2:14" x14ac:dyDescent="0.35">
      <c r="B31" s="102" t="s">
        <v>129</v>
      </c>
      <c r="C31" s="102"/>
      <c r="D31" s="102"/>
      <c r="E31" s="102"/>
      <c r="F31" s="102"/>
      <c r="G31" s="102"/>
      <c r="H31" s="102"/>
    </row>
    <row r="32" spans="2:14" x14ac:dyDescent="0.35">
      <c r="C32" s="45" t="s">
        <v>68</v>
      </c>
      <c r="D32" s="44" t="s">
        <v>76</v>
      </c>
      <c r="E32" s="44" t="s">
        <v>77</v>
      </c>
      <c r="F32" s="45" t="s">
        <v>78</v>
      </c>
      <c r="G32" s="45" t="s">
        <v>79</v>
      </c>
      <c r="H32" s="46" t="s">
        <v>56</v>
      </c>
    </row>
    <row r="33" spans="2:10" x14ac:dyDescent="0.35">
      <c r="B33" s="22" t="s">
        <v>123</v>
      </c>
      <c r="C33" s="22" t="s">
        <v>49</v>
      </c>
      <c r="D33" s="47">
        <f>C5</f>
        <v>509</v>
      </c>
      <c r="E33" s="47">
        <f t="shared" ref="E33:G33" si="0">D5</f>
        <v>510</v>
      </c>
      <c r="F33" s="47">
        <f t="shared" si="0"/>
        <v>510</v>
      </c>
      <c r="G33" s="47">
        <f t="shared" si="0"/>
        <v>511</v>
      </c>
      <c r="H33" s="48">
        <f>SUM(D33:G33)</f>
        <v>2040</v>
      </c>
    </row>
    <row r="34" spans="2:10" x14ac:dyDescent="0.35">
      <c r="B34" s="22" t="s">
        <v>124</v>
      </c>
      <c r="C34" s="22" t="s">
        <v>49</v>
      </c>
      <c r="D34" s="49">
        <f>(D33*330)/1000</f>
        <v>167.97</v>
      </c>
      <c r="E34" s="49">
        <f t="shared" ref="E34:H34" si="1">(E33*330)/1000</f>
        <v>168.3</v>
      </c>
      <c r="F34" s="49">
        <f t="shared" si="1"/>
        <v>168.3</v>
      </c>
      <c r="G34" s="49">
        <f t="shared" si="1"/>
        <v>168.63</v>
      </c>
      <c r="H34" s="49">
        <f t="shared" si="1"/>
        <v>673.2</v>
      </c>
    </row>
    <row r="35" spans="2:10" x14ac:dyDescent="0.35">
      <c r="B35" s="50" t="s">
        <v>125</v>
      </c>
      <c r="C35" s="50">
        <v>300</v>
      </c>
      <c r="D35" s="50" t="s">
        <v>49</v>
      </c>
      <c r="E35" s="50" t="s">
        <v>49</v>
      </c>
      <c r="F35" s="50" t="s">
        <v>49</v>
      </c>
      <c r="G35" s="50" t="s">
        <v>49</v>
      </c>
      <c r="H35" s="50"/>
    </row>
    <row r="36" spans="2:10" x14ac:dyDescent="0.35">
      <c r="B36" s="50" t="s">
        <v>126</v>
      </c>
      <c r="C36" s="50" t="s">
        <v>49</v>
      </c>
      <c r="D36" s="51">
        <f>A11</f>
        <v>154.63636363636363</v>
      </c>
      <c r="E36" s="51">
        <f>A13</f>
        <v>8.2727272727272521</v>
      </c>
      <c r="F36" s="51">
        <f>H18-F33+E36</f>
        <v>952.81818181818176</v>
      </c>
      <c r="G36" s="51">
        <f>F36-G33</f>
        <v>441.81818181818176</v>
      </c>
      <c r="H36" s="50"/>
    </row>
    <row r="37" spans="2:10" x14ac:dyDescent="0.35">
      <c r="B37" s="52" t="s">
        <v>127</v>
      </c>
      <c r="C37" s="52">
        <f>(C35*330)/1000</f>
        <v>99</v>
      </c>
      <c r="D37" s="52" t="s">
        <v>49</v>
      </c>
      <c r="E37" s="52" t="s">
        <v>49</v>
      </c>
      <c r="F37" s="52" t="s">
        <v>49</v>
      </c>
      <c r="G37" s="52" t="s">
        <v>49</v>
      </c>
      <c r="H37" s="52"/>
    </row>
    <row r="38" spans="2:10" x14ac:dyDescent="0.35">
      <c r="B38" s="52" t="s">
        <v>128</v>
      </c>
      <c r="C38" s="52" t="s">
        <v>49</v>
      </c>
      <c r="D38" s="53">
        <f>(A11*330)/1000</f>
        <v>51.03</v>
      </c>
      <c r="E38" s="53">
        <f>(A13*330)/1000</f>
        <v>2.7299999999999933</v>
      </c>
      <c r="F38" s="53">
        <f>D18-F34+E38</f>
        <v>314.43</v>
      </c>
      <c r="G38" s="114">
        <f>F38-G34</f>
        <v>145.80000000000001</v>
      </c>
      <c r="H38" s="52"/>
    </row>
    <row r="39" spans="2:10" ht="15" thickBot="1" x14ac:dyDescent="0.4"/>
    <row r="40" spans="2:10" ht="15" thickBot="1" x14ac:dyDescent="0.4">
      <c r="B40" s="97" t="s">
        <v>143</v>
      </c>
      <c r="C40" s="98"/>
      <c r="D40" s="98"/>
      <c r="E40" s="98"/>
      <c r="F40" s="98"/>
      <c r="G40" s="98"/>
      <c r="H40" s="98"/>
      <c r="I40" s="98"/>
      <c r="J40" s="99"/>
    </row>
    <row r="41" spans="2:10" x14ac:dyDescent="0.35">
      <c r="B41" s="58" t="s">
        <v>133</v>
      </c>
      <c r="C41" s="55" t="s">
        <v>76</v>
      </c>
      <c r="D41" s="55" t="s">
        <v>77</v>
      </c>
      <c r="E41" s="54" t="s">
        <v>78</v>
      </c>
      <c r="F41" s="54" t="s">
        <v>79</v>
      </c>
      <c r="G41" s="56" t="s">
        <v>56</v>
      </c>
      <c r="H41" s="57" t="s">
        <v>130</v>
      </c>
      <c r="I41" s="58" t="s">
        <v>131</v>
      </c>
      <c r="J41" s="58" t="s">
        <v>132</v>
      </c>
    </row>
    <row r="42" spans="2:10" x14ac:dyDescent="0.35">
      <c r="B42" s="59" t="s">
        <v>134</v>
      </c>
      <c r="C42" s="60">
        <v>600</v>
      </c>
      <c r="D42" s="60">
        <v>600</v>
      </c>
      <c r="E42" s="61">
        <v>0</v>
      </c>
      <c r="F42" s="61">
        <v>0</v>
      </c>
      <c r="G42" s="60">
        <f>SUM(C42:F42)</f>
        <v>1200</v>
      </c>
      <c r="H42" s="62">
        <f>G42/G46</f>
        <v>0.625</v>
      </c>
      <c r="I42" s="63" t="s">
        <v>135</v>
      </c>
      <c r="J42" s="64" t="s">
        <v>136</v>
      </c>
    </row>
    <row r="43" spans="2:10" x14ac:dyDescent="0.35">
      <c r="B43" s="59" t="s">
        <v>144</v>
      </c>
      <c r="C43" s="65">
        <v>120</v>
      </c>
      <c r="D43" s="65">
        <v>120</v>
      </c>
      <c r="E43" s="61">
        <v>0</v>
      </c>
      <c r="F43" s="61">
        <v>0</v>
      </c>
      <c r="G43" s="65">
        <f>SUM(C43:F43)</f>
        <v>240</v>
      </c>
      <c r="H43" s="62">
        <f>G43/G46</f>
        <v>0.125</v>
      </c>
      <c r="I43" s="66" t="s">
        <v>137</v>
      </c>
      <c r="J43" s="64" t="s">
        <v>138</v>
      </c>
    </row>
    <row r="44" spans="2:10" x14ac:dyDescent="0.35">
      <c r="B44" s="59" t="s">
        <v>145</v>
      </c>
      <c r="C44" s="61">
        <v>0</v>
      </c>
      <c r="D44" s="61">
        <v>0</v>
      </c>
      <c r="E44" s="67">
        <v>480</v>
      </c>
      <c r="F44" s="67">
        <v>0</v>
      </c>
      <c r="G44" s="67">
        <f>SUM(C44:F44)</f>
        <v>480</v>
      </c>
      <c r="H44" s="62">
        <f>G44/G46</f>
        <v>0.25</v>
      </c>
      <c r="I44" s="68" t="s">
        <v>139</v>
      </c>
      <c r="J44" s="64" t="s">
        <v>147</v>
      </c>
    </row>
    <row r="45" spans="2:10" x14ac:dyDescent="0.35">
      <c r="B45" s="69" t="s">
        <v>146</v>
      </c>
      <c r="C45" s="70">
        <f>SUM(C41:C44)</f>
        <v>720</v>
      </c>
      <c r="D45" s="70">
        <f>SUM(D41:D44)</f>
        <v>720</v>
      </c>
      <c r="E45" s="70">
        <f>SUM(E41:E44)</f>
        <v>480</v>
      </c>
      <c r="F45" s="70">
        <f>SUM(F41:F44)</f>
        <v>0</v>
      </c>
      <c r="G45" s="71">
        <f>SUM(G41:G44)</f>
        <v>1920</v>
      </c>
      <c r="H45" s="72" t="s">
        <v>140</v>
      </c>
      <c r="I45" s="73" t="s">
        <v>49</v>
      </c>
      <c r="J45" s="74"/>
    </row>
    <row r="46" spans="2:10" x14ac:dyDescent="0.35">
      <c r="B46" s="75" t="s">
        <v>141</v>
      </c>
      <c r="C46" s="76">
        <v>720</v>
      </c>
      <c r="D46" s="76">
        <v>720</v>
      </c>
      <c r="E46" s="76">
        <v>480</v>
      </c>
      <c r="F46" s="77">
        <v>0</v>
      </c>
      <c r="G46" s="78">
        <f>SUM(C46:F46)</f>
        <v>1920</v>
      </c>
      <c r="H46" s="79">
        <f>G46/(720*4)</f>
        <v>0.66666666666666663</v>
      </c>
      <c r="I46" s="80"/>
      <c r="J46" s="81" t="s">
        <v>142</v>
      </c>
    </row>
    <row r="48" spans="2:10" ht="15" thickBot="1" x14ac:dyDescent="0.4"/>
    <row r="49" spans="2:10" ht="15" thickBot="1" x14ac:dyDescent="0.4">
      <c r="B49" s="97" t="s">
        <v>179</v>
      </c>
      <c r="C49" s="98"/>
      <c r="D49" s="98"/>
      <c r="E49" s="98"/>
      <c r="F49" s="98"/>
      <c r="G49" s="98"/>
      <c r="H49" s="98"/>
      <c r="I49" s="98"/>
      <c r="J49" s="99"/>
    </row>
    <row r="50" spans="2:10" x14ac:dyDescent="0.35">
      <c r="B50" s="82" t="s">
        <v>176</v>
      </c>
      <c r="C50" s="91" t="s">
        <v>76</v>
      </c>
      <c r="D50" s="91" t="s">
        <v>77</v>
      </c>
      <c r="E50" s="91" t="s">
        <v>78</v>
      </c>
      <c r="F50" s="91" t="s">
        <v>79</v>
      </c>
      <c r="G50" s="91" t="s">
        <v>56</v>
      </c>
      <c r="H50" s="92"/>
      <c r="I50" s="92"/>
      <c r="J50" s="92"/>
    </row>
    <row r="51" spans="2:10" x14ac:dyDescent="0.35">
      <c r="B51" s="93" t="s">
        <v>134</v>
      </c>
      <c r="C51" s="94">
        <f>C42</f>
        <v>600</v>
      </c>
      <c r="D51" s="94">
        <f>D42</f>
        <v>600</v>
      </c>
      <c r="E51" s="61">
        <v>0</v>
      </c>
      <c r="F51" s="61">
        <v>0</v>
      </c>
      <c r="G51" s="60">
        <f>SUM(C51:F51)</f>
        <v>1200</v>
      </c>
      <c r="H51" s="95"/>
      <c r="I51" s="95"/>
      <c r="J51" s="95"/>
    </row>
    <row r="52" spans="2:10" x14ac:dyDescent="0.35">
      <c r="B52" s="96" t="s">
        <v>178</v>
      </c>
      <c r="C52" s="113">
        <f>D34</f>
        <v>167.97</v>
      </c>
      <c r="D52" s="113">
        <f t="shared" ref="D52:F52" si="2">E34</f>
        <v>168.3</v>
      </c>
      <c r="E52" s="113">
        <f t="shared" si="2"/>
        <v>168.3</v>
      </c>
      <c r="F52" s="113">
        <f t="shared" si="2"/>
        <v>168.63</v>
      </c>
      <c r="G52" s="65">
        <f>SUM(C52:F52)</f>
        <v>673.2</v>
      </c>
      <c r="H52" s="95"/>
      <c r="I52" s="95"/>
      <c r="J52" s="95"/>
    </row>
    <row r="53" spans="2:10" x14ac:dyDescent="0.35">
      <c r="B53" s="69" t="s">
        <v>177</v>
      </c>
      <c r="C53" s="70">
        <f>SUM(C51:C52)</f>
        <v>767.97</v>
      </c>
      <c r="D53" s="70">
        <f t="shared" ref="D53:F53" si="3">SUM(D51:D52)</f>
        <v>768.3</v>
      </c>
      <c r="E53" s="70">
        <f t="shared" si="3"/>
        <v>168.3</v>
      </c>
      <c r="F53" s="70">
        <f t="shared" si="3"/>
        <v>168.63</v>
      </c>
      <c r="G53" s="71">
        <f>SUM(C53:F53)</f>
        <v>1873.1999999999998</v>
      </c>
      <c r="H53" s="74"/>
      <c r="I53" s="74"/>
      <c r="J53" s="74"/>
    </row>
    <row r="55" spans="2:10" x14ac:dyDescent="0.35">
      <c r="B55" s="115" t="s">
        <v>128</v>
      </c>
      <c r="C55" s="116">
        <f>G46-G53+C37</f>
        <v>145.80000000000018</v>
      </c>
    </row>
    <row r="57" spans="2:10" ht="15" thickBot="1" x14ac:dyDescent="0.4"/>
    <row r="58" spans="2:10" ht="15" thickBot="1" x14ac:dyDescent="0.4">
      <c r="B58" s="100" t="s">
        <v>180</v>
      </c>
      <c r="C58" s="98"/>
      <c r="D58" s="98"/>
      <c r="E58" s="98"/>
      <c r="F58" s="99"/>
    </row>
    <row r="59" spans="2:10" x14ac:dyDescent="0.35">
      <c r="B59" s="82" t="s">
        <v>149</v>
      </c>
      <c r="C59" s="82" t="s">
        <v>148</v>
      </c>
      <c r="D59" s="82" t="s">
        <v>26</v>
      </c>
      <c r="E59" s="82" t="s">
        <v>150</v>
      </c>
      <c r="F59" s="82" t="s">
        <v>151</v>
      </c>
    </row>
    <row r="60" spans="2:10" x14ac:dyDescent="0.35">
      <c r="B60" s="83" t="s">
        <v>152</v>
      </c>
      <c r="C60" s="84">
        <f>720/720</f>
        <v>1</v>
      </c>
      <c r="D60" s="85" t="s">
        <v>153</v>
      </c>
      <c r="E60" s="86" t="s">
        <v>140</v>
      </c>
      <c r="F60" s="87" t="s">
        <v>154</v>
      </c>
    </row>
    <row r="61" spans="2:10" x14ac:dyDescent="0.35">
      <c r="B61" s="83" t="s">
        <v>155</v>
      </c>
      <c r="C61" s="88">
        <f>480/720</f>
        <v>0.66666666666666663</v>
      </c>
      <c r="D61" s="85" t="s">
        <v>153</v>
      </c>
      <c r="E61" s="86" t="s">
        <v>156</v>
      </c>
      <c r="F61" s="89" t="s">
        <v>157</v>
      </c>
    </row>
    <row r="62" spans="2:10" x14ac:dyDescent="0.35">
      <c r="B62" s="83" t="s">
        <v>181</v>
      </c>
      <c r="C62" s="88">
        <f>0/720</f>
        <v>0</v>
      </c>
      <c r="D62" s="85" t="s">
        <v>153</v>
      </c>
      <c r="E62" s="86" t="s">
        <v>182</v>
      </c>
      <c r="F62" s="89" t="s">
        <v>182</v>
      </c>
    </row>
    <row r="63" spans="2:10" x14ac:dyDescent="0.35">
      <c r="B63" s="83" t="s">
        <v>158</v>
      </c>
      <c r="C63" s="60">
        <v>1920</v>
      </c>
      <c r="D63" s="85" t="s">
        <v>8</v>
      </c>
      <c r="E63" s="86" t="s">
        <v>159</v>
      </c>
      <c r="F63" s="87" t="s">
        <v>160</v>
      </c>
    </row>
    <row r="64" spans="2:10" x14ac:dyDescent="0.35">
      <c r="B64" s="83" t="s">
        <v>184</v>
      </c>
      <c r="C64" s="60">
        <f>G53</f>
        <v>1873.1999999999998</v>
      </c>
      <c r="D64" s="85" t="s">
        <v>8</v>
      </c>
      <c r="E64" s="117" t="s">
        <v>185</v>
      </c>
      <c r="F64" s="87" t="s">
        <v>160</v>
      </c>
    </row>
    <row r="65" spans="2:6" x14ac:dyDescent="0.35">
      <c r="B65" s="83" t="s">
        <v>161</v>
      </c>
      <c r="C65" s="60">
        <v>1200</v>
      </c>
      <c r="D65" s="85" t="s">
        <v>8</v>
      </c>
      <c r="E65" s="86" t="s">
        <v>162</v>
      </c>
      <c r="F65" s="87" t="s">
        <v>160</v>
      </c>
    </row>
    <row r="66" spans="2:6" x14ac:dyDescent="0.35">
      <c r="B66" s="83" t="s">
        <v>183</v>
      </c>
      <c r="C66" s="60">
        <f>G52</f>
        <v>673.2</v>
      </c>
      <c r="D66" s="85" t="s">
        <v>8</v>
      </c>
      <c r="E66" s="86" t="s">
        <v>186</v>
      </c>
      <c r="F66" s="87" t="s">
        <v>160</v>
      </c>
    </row>
    <row r="67" spans="2:6" x14ac:dyDescent="0.35">
      <c r="B67" s="83" t="s">
        <v>167</v>
      </c>
      <c r="C67" s="60">
        <f>C55</f>
        <v>145.80000000000018</v>
      </c>
      <c r="D67" s="85" t="s">
        <v>8</v>
      </c>
      <c r="E67" s="86" t="s">
        <v>187</v>
      </c>
      <c r="F67" s="87" t="s">
        <v>168</v>
      </c>
    </row>
    <row r="68" spans="2:6" x14ac:dyDescent="0.35">
      <c r="B68" s="83" t="s">
        <v>171</v>
      </c>
      <c r="C68" s="88">
        <f>1920/2880</f>
        <v>0.66666666666666663</v>
      </c>
      <c r="D68" s="85" t="s">
        <v>153</v>
      </c>
      <c r="E68" s="86" t="s">
        <v>172</v>
      </c>
      <c r="F68" s="89" t="s">
        <v>173</v>
      </c>
    </row>
    <row r="69" spans="2:6" ht="15" thickBot="1" x14ac:dyDescent="0.4"/>
    <row r="70" spans="2:6" ht="15" thickBot="1" x14ac:dyDescent="0.4">
      <c r="B70" s="101" t="s">
        <v>188</v>
      </c>
      <c r="C70" s="98"/>
      <c r="D70" s="98"/>
      <c r="E70" s="99"/>
    </row>
    <row r="71" spans="2:6" x14ac:dyDescent="0.35">
      <c r="B71" s="90" t="s">
        <v>163</v>
      </c>
      <c r="C71" s="121" t="s">
        <v>164</v>
      </c>
      <c r="D71" s="122"/>
      <c r="E71" s="122"/>
    </row>
    <row r="72" spans="2:6" ht="34" customHeight="1" x14ac:dyDescent="0.35">
      <c r="B72" s="118" t="s">
        <v>72</v>
      </c>
      <c r="C72" s="119" t="s">
        <v>189</v>
      </c>
      <c r="D72" s="120"/>
      <c r="E72" s="120"/>
    </row>
    <row r="73" spans="2:6" ht="31" customHeight="1" x14ac:dyDescent="0.35">
      <c r="B73" s="118" t="s">
        <v>73</v>
      </c>
      <c r="C73" s="119" t="s">
        <v>165</v>
      </c>
      <c r="D73" s="120"/>
      <c r="E73" s="120"/>
    </row>
    <row r="74" spans="2:6" ht="32" customHeight="1" x14ac:dyDescent="0.35">
      <c r="B74" s="118" t="s">
        <v>74</v>
      </c>
      <c r="C74" s="119" t="s">
        <v>190</v>
      </c>
      <c r="D74" s="120"/>
      <c r="E74" s="120"/>
    </row>
    <row r="75" spans="2:6" ht="34.5" customHeight="1" x14ac:dyDescent="0.35">
      <c r="B75" s="118" t="s">
        <v>75</v>
      </c>
      <c r="C75" s="119" t="s">
        <v>191</v>
      </c>
      <c r="D75" s="120"/>
      <c r="E75" s="120"/>
    </row>
    <row r="76" spans="2:6" ht="27.5" customHeight="1" x14ac:dyDescent="0.35">
      <c r="B76" s="118" t="s">
        <v>166</v>
      </c>
      <c r="C76" s="119" t="s">
        <v>192</v>
      </c>
      <c r="D76" s="120"/>
      <c r="E76" s="120"/>
    </row>
    <row r="77" spans="2:6" ht="30.5" customHeight="1" x14ac:dyDescent="0.35">
      <c r="B77" s="118" t="s">
        <v>169</v>
      </c>
      <c r="C77" s="119" t="s">
        <v>170</v>
      </c>
      <c r="D77" s="120"/>
      <c r="E77" s="120"/>
    </row>
    <row r="78" spans="2:6" ht="32.5" customHeight="1" x14ac:dyDescent="0.35">
      <c r="B78" s="118" t="s">
        <v>174</v>
      </c>
      <c r="C78" s="119" t="s">
        <v>175</v>
      </c>
      <c r="D78" s="120"/>
      <c r="E78" s="120"/>
    </row>
  </sheetData>
  <mergeCells count="19">
    <mergeCell ref="N8:O8"/>
    <mergeCell ref="N9:O9"/>
    <mergeCell ref="C71:E71"/>
    <mergeCell ref="B31:H31"/>
    <mergeCell ref="B40:J40"/>
    <mergeCell ref="J17:K17"/>
    <mergeCell ref="A1:G1"/>
    <mergeCell ref="A2:G2"/>
    <mergeCell ref="H4:J4"/>
    <mergeCell ref="C75:E75"/>
    <mergeCell ref="C76:E76"/>
    <mergeCell ref="C77:E77"/>
    <mergeCell ref="C78:E78"/>
    <mergeCell ref="B49:J49"/>
    <mergeCell ref="B58:F58"/>
    <mergeCell ref="B70:E70"/>
    <mergeCell ref="C72:E72"/>
    <mergeCell ref="C73:E73"/>
    <mergeCell ref="C74:E7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PARÁMETROS</vt:lpstr>
      <vt:lpstr>RECETAS</vt:lpstr>
      <vt:lpstr>MPS — PEDIDOS FIJOS</vt:lpstr>
      <vt:lpstr>MPS — CANAL BOTELLAS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juliana ortiz</cp:lastModifiedBy>
  <cp:revision>0</cp:revision>
  <dcterms:created xsi:type="dcterms:W3CDTF">2026-05-07T06:45:33Z</dcterms:created>
  <dcterms:modified xsi:type="dcterms:W3CDTF">2026-05-16T07:27:17Z</dcterms:modified>
  <dc:language>en-US</dc:language>
</cp:coreProperties>
</file>